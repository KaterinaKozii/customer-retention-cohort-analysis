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Owner\Downloads\"/>
    </mc:Choice>
  </mc:AlternateContent>
  <bookViews>
    <workbookView xWindow="0" yWindow="0" windowWidth="23970" windowHeight="9555" activeTab="1"/>
  </bookViews>
  <sheets>
    <sheet name="Data" sheetId="1" r:id="rId1"/>
    <sheet name="Cohort_tables" sheetId="2" r:id="rId2"/>
    <sheet name="Conclusions" sheetId="3" r:id="rId3"/>
  </sheets>
  <definedNames>
    <definedName name="SlicerCache_Table_1_Col_1">#N/A</definedName>
    <definedName name="Z_0A40933F_E93B_450A_ABAC_E5BAF29A419F_.wvu.FilterData" localSheetId="0" hidden="1">Data!$A$1:$D$43</definedName>
  </definedNames>
  <calcPr calcId="152511"/>
  <customWorkbookViews>
    <customWorkbookView name="Filter 1" guid="{0A40933F-E93B-450A-ABAC-E5BAF29A419F}" maximized="1" windowWidth="0" windowHeight="0" activeSheetId="0"/>
  </customWorkbookViews>
  <pivotCaches>
    <pivotCache cacheId="4" r:id="rId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5:slicerCaches>
    </ext>
  </extLst>
</workbook>
</file>

<file path=xl/calcChain.xml><?xml version="1.0" encoding="utf-8"?>
<calcChain xmlns="http://schemas.openxmlformats.org/spreadsheetml/2006/main">
  <c r="G19" i="2" l="1"/>
  <c r="F19" i="2"/>
  <c r="E19" i="2"/>
  <c r="D19" i="2"/>
  <c r="C19" i="2"/>
  <c r="B19" i="2"/>
  <c r="A19" i="2"/>
  <c r="G18" i="2"/>
  <c r="F18" i="2"/>
  <c r="E18" i="2"/>
  <c r="D18" i="2"/>
  <c r="C18" i="2"/>
  <c r="B18" i="2"/>
  <c r="A18" i="2"/>
  <c r="G17" i="2"/>
  <c r="F17" i="2"/>
  <c r="E17" i="2"/>
  <c r="D17" i="2"/>
  <c r="C17" i="2"/>
  <c r="B17" i="2"/>
  <c r="A17" i="2"/>
  <c r="G16" i="2"/>
  <c r="F16" i="2"/>
  <c r="E16" i="2"/>
  <c r="D16" i="2"/>
  <c r="C16" i="2"/>
  <c r="B16" i="2"/>
  <c r="A16" i="2"/>
  <c r="G15" i="2"/>
  <c r="F15" i="2"/>
  <c r="E15" i="2"/>
  <c r="D15" i="2"/>
  <c r="C15" i="2"/>
  <c r="B15" i="2"/>
  <c r="A15" i="2"/>
  <c r="G14" i="2"/>
  <c r="F14" i="2"/>
  <c r="E14" i="2"/>
  <c r="D14" i="2"/>
  <c r="C14" i="2"/>
  <c r="B14" i="2"/>
  <c r="A14" i="2"/>
  <c r="G13" i="2"/>
  <c r="F13" i="2"/>
  <c r="E13" i="2"/>
  <c r="D13" i="2"/>
  <c r="C13" i="2"/>
  <c r="B13" i="2"/>
  <c r="A13" i="2"/>
  <c r="B12" i="2"/>
</calcChain>
</file>

<file path=xl/sharedStrings.xml><?xml version="1.0" encoding="utf-8"?>
<sst xmlns="http://schemas.openxmlformats.org/spreadsheetml/2006/main" count="11" uniqueCount="8">
  <si>
    <t>promo_signup_flag</t>
  </si>
  <si>
    <t>cohort_month</t>
  </si>
  <si>
    <t>month_offset</t>
  </si>
  <si>
    <t>users_total</t>
  </si>
  <si>
    <t>SUM of users_total</t>
  </si>
  <si>
    <t>Висновок</t>
  </si>
  <si>
    <t>Порівняння когорт показує, що попри те, що канал  "Organic" показує спадаючу тенденцію по залученню користувачів по month_offset_0, а канал "Promo", навпаки, збільшує кількість користувачів кожного місяця, 
канал "Organic" залучає в 2.3 рази більше користувачів ніж "Promo" (1076/456), скоріш за все через усвідомденність таргетної аудиторії. 
Це підверджує retention каналу "Organic" - утримання користувачів є більш високим та стабільним, на відміну від хаотичного та спадаючого утримання в "Promo" (особливо критична ситуація після першого місяця - "відсіюється" максимальний відсоток користувачів). 
Рекомендація: 
масштабувати канал  "Organic", як більш прибутковий; 
передивитись та оптимізувати умови  "Promo" для підвищення утримання користувачів. Цей канал може бути потенційно прибутковим, враховуючи збільшення залучених користувачів в останні місяці, але необхідні додаткові заходи.</t>
  </si>
  <si>
    <t>Общий итог</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</si>
</sst>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mm\-dd"/>
    <numFmt numFmtId="165" formatCode="yyyy\-mm"/>
  </numFmts>
  <fonts count="3" x14ac:knownFonts="1">
    <font>
      <sz val="10"/>
      <color rgb="FF000000"/>
      <name val="Arial"/>
      <scheme val="minor"/>
    </font>
    <font>
      <sz val="10"/>
      <color theme="1"/>
      <name val="Arial"/>
      <scheme val="minor"/>
    </font>
    <font>
      <sz val="10"/>
      <color theme="1"/>
      <name val="Arial"/>
    </font>
  </fonts>
  <fills count="21">
    <fill>
      <patternFill patternType="none"/>
    </fill>
    <fill>
      <patternFill patternType="gray125"/>
    </fill>
    <fill>
      <patternFill patternType="solid">
        <fgColor rgb="FFA4C2F4"/>
        <bgColor rgb="FFA4C2F4"/>
      </patternFill>
    </fill>
    <fill>
      <patternFill patternType="solid">
        <fgColor rgb="FFCFE2F3"/>
        <bgColor rgb="FFCFE2F3"/>
      </patternFill>
    </fill>
    <fill>
      <patternFill patternType="solid">
        <fgColor rgb="FFC9DAF8"/>
        <bgColor rgb="FFC9DAF8"/>
      </patternFill>
    </fill>
    <fill>
      <patternFill patternType="solid">
        <fgColor rgb="FF57BB8A"/>
        <bgColor rgb="FF57BB8A"/>
      </patternFill>
    </fill>
    <fill>
      <patternFill patternType="solid">
        <fgColor rgb="FF9BD7BA"/>
        <bgColor rgb="FF9BD7BA"/>
      </patternFill>
    </fill>
    <fill>
      <patternFill patternType="solid">
        <fgColor rgb="FFB1E0C9"/>
        <bgColor rgb="FFB1E0C9"/>
      </patternFill>
    </fill>
    <fill>
      <patternFill patternType="solid">
        <fgColor rgb="FFDCF1E7"/>
        <bgColor rgb="FFDCF1E7"/>
      </patternFill>
    </fill>
    <fill>
      <patternFill patternType="solid">
        <fgColor rgb="FFEDF8F2"/>
        <bgColor rgb="FFEDF8F2"/>
      </patternFill>
    </fill>
    <fill>
      <patternFill patternType="solid">
        <fgColor rgb="FFFFFFFF"/>
        <bgColor rgb="FFFFFFFF"/>
      </patternFill>
    </fill>
    <fill>
      <patternFill patternType="solid">
        <fgColor rgb="FFB4E1CB"/>
        <bgColor rgb="FFB4E1CB"/>
      </patternFill>
    </fill>
    <fill>
      <patternFill patternType="solid">
        <fgColor rgb="FFC1E6D4"/>
        <bgColor rgb="FFC1E6D4"/>
      </patternFill>
    </fill>
    <fill>
      <patternFill patternType="solid">
        <fgColor rgb="FFC9EADA"/>
        <bgColor rgb="FFC9EADA"/>
      </patternFill>
    </fill>
    <fill>
      <patternFill patternType="solid">
        <fgColor rgb="FFE7F6EF"/>
        <bgColor rgb="FFE7F6EF"/>
      </patternFill>
    </fill>
    <fill>
      <patternFill patternType="solid">
        <fgColor rgb="FFA7DBC2"/>
        <bgColor rgb="FFA7DBC2"/>
      </patternFill>
    </fill>
    <fill>
      <patternFill patternType="solid">
        <fgColor rgb="FFA0D9BD"/>
        <bgColor rgb="FFA0D9BD"/>
      </patternFill>
    </fill>
    <fill>
      <patternFill patternType="solid">
        <fgColor rgb="FFBFE5D2"/>
        <bgColor rgb="FFBFE5D2"/>
      </patternFill>
    </fill>
    <fill>
      <patternFill patternType="solid">
        <fgColor rgb="FFABDDC4"/>
        <bgColor rgb="FFABDDC4"/>
      </patternFill>
    </fill>
    <fill>
      <patternFill patternType="solid">
        <fgColor rgb="FFCEEBDD"/>
        <bgColor rgb="FFCEEBDD"/>
      </patternFill>
    </fill>
    <fill>
      <patternFill patternType="solid">
        <fgColor rgb="FFABDDC5"/>
        <bgColor rgb="FFABDDC5"/>
      </patternFill>
    </fill>
  </fills>
  <borders count="11">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rgb="FFABABAB"/>
      </top>
      <bottom style="thin">
        <color rgb="FFABABAB"/>
      </bottom>
      <diagonal/>
    </border>
    <border>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45">
    <xf numFmtId="0" fontId="0" fillId="0" borderId="0" xfId="0" applyFont="1" applyAlignment="1"/>
    <xf numFmtId="0" fontId="1" fillId="0" borderId="0" xfId="0" applyFont="1" applyAlignment="1"/>
    <xf numFmtId="164" fontId="1" fillId="0" borderId="0" xfId="0" applyNumberFormat="1" applyFont="1" applyAlignment="1"/>
    <xf numFmtId="0" fontId="1" fillId="2" borderId="0" xfId="0" applyFont="1" applyFill="1"/>
    <xf numFmtId="0" fontId="1" fillId="3" borderId="0" xfId="0" applyFont="1" applyFill="1"/>
    <xf numFmtId="0" fontId="2" fillId="0" borderId="0" xfId="0" applyFont="1" applyAlignment="1"/>
    <xf numFmtId="165" fontId="2" fillId="4" borderId="0" xfId="0" applyNumberFormat="1" applyFont="1" applyFill="1" applyAlignment="1">
      <alignment horizontal="right"/>
    </xf>
    <xf numFmtId="9" fontId="2" fillId="5" borderId="0" xfId="0" applyNumberFormat="1" applyFont="1" applyFill="1" applyAlignment="1">
      <alignment horizontal="right"/>
    </xf>
    <xf numFmtId="9" fontId="2" fillId="6" borderId="0" xfId="0" applyNumberFormat="1" applyFont="1" applyFill="1" applyAlignment="1">
      <alignment horizontal="right"/>
    </xf>
    <xf numFmtId="9" fontId="2" fillId="7" borderId="0" xfId="0" applyNumberFormat="1" applyFont="1" applyFill="1" applyAlignment="1">
      <alignment horizontal="right"/>
    </xf>
    <xf numFmtId="9" fontId="2" fillId="8" borderId="0" xfId="0" applyNumberFormat="1" applyFont="1" applyFill="1" applyAlignment="1">
      <alignment horizontal="right"/>
    </xf>
    <xf numFmtId="9" fontId="2" fillId="9" borderId="0" xfId="0" applyNumberFormat="1" applyFont="1" applyFill="1" applyAlignment="1">
      <alignment horizontal="right"/>
    </xf>
    <xf numFmtId="9" fontId="2" fillId="10" borderId="0" xfId="0" applyNumberFormat="1" applyFont="1" applyFill="1" applyAlignment="1">
      <alignment horizontal="right"/>
    </xf>
    <xf numFmtId="9" fontId="2" fillId="0" borderId="0" xfId="0" applyNumberFormat="1" applyFont="1" applyAlignment="1"/>
    <xf numFmtId="9" fontId="2" fillId="11" borderId="0" xfId="0" applyNumberFormat="1" applyFont="1" applyFill="1" applyAlignment="1">
      <alignment horizontal="right"/>
    </xf>
    <xf numFmtId="9" fontId="2" fillId="12" borderId="0" xfId="0" applyNumberFormat="1" applyFont="1" applyFill="1" applyAlignment="1">
      <alignment horizontal="right"/>
    </xf>
    <xf numFmtId="9" fontId="2" fillId="13" borderId="0" xfId="0" applyNumberFormat="1" applyFont="1" applyFill="1" applyAlignment="1">
      <alignment horizontal="right"/>
    </xf>
    <xf numFmtId="9" fontId="2" fillId="14" borderId="0" xfId="0" applyNumberFormat="1" applyFont="1" applyFill="1" applyAlignment="1">
      <alignment horizontal="right"/>
    </xf>
    <xf numFmtId="9" fontId="2" fillId="15" borderId="0" xfId="0" applyNumberFormat="1" applyFont="1" applyFill="1" applyAlignment="1">
      <alignment horizontal="right"/>
    </xf>
    <xf numFmtId="9" fontId="2" fillId="16" borderId="0" xfId="0" applyNumberFormat="1" applyFont="1" applyFill="1" applyAlignment="1">
      <alignment horizontal="right"/>
    </xf>
    <xf numFmtId="9" fontId="2" fillId="17" borderId="0" xfId="0" applyNumberFormat="1" applyFont="1" applyFill="1" applyAlignment="1">
      <alignment horizontal="right"/>
    </xf>
    <xf numFmtId="9" fontId="2" fillId="18" borderId="0" xfId="0" applyNumberFormat="1" applyFont="1" applyFill="1" applyAlignment="1">
      <alignment horizontal="right"/>
    </xf>
    <xf numFmtId="9" fontId="2" fillId="19" borderId="0" xfId="0" applyNumberFormat="1" applyFont="1" applyFill="1" applyAlignment="1">
      <alignment horizontal="right"/>
    </xf>
    <xf numFmtId="9" fontId="2" fillId="20" borderId="0" xfId="0" applyNumberFormat="1" applyFont="1" applyFill="1" applyAlignment="1">
      <alignment horizontal="right"/>
    </xf>
    <xf numFmtId="0" fontId="1" fillId="0" borderId="0" xfId="0" applyFont="1" applyAlignment="1">
      <alignment horizontal="center" vertical="center"/>
    </xf>
    <xf numFmtId="0" fontId="1" fillId="0" borderId="0" xfId="0" applyFont="1" applyAlignment="1">
      <alignment horizontal="left" vertical="center" wrapText="1"/>
    </xf>
    <xf numFmtId="0" fontId="1" fillId="0" borderId="0" xfId="0" applyFont="1" applyAlignment="1">
      <alignment horizontal="left" vertical="center"/>
    </xf>
    <xf numFmtId="0" fontId="0" fillId="0" borderId="1" xfId="0" pivotButton="1" applyFont="1" applyBorder="1" applyAlignment="1"/>
    <xf numFmtId="0" fontId="0" fillId="0" borderId="2" xfId="0" applyFont="1" applyBorder="1" applyAlignment="1"/>
    <xf numFmtId="0" fontId="0" fillId="0" borderId="3" xfId="0" applyFont="1" applyBorder="1" applyAlignment="1"/>
    <xf numFmtId="0" fontId="0" fillId="0" borderId="1" xfId="0" applyFont="1" applyBorder="1" applyAlignment="1"/>
    <xf numFmtId="0" fontId="0" fillId="0" borderId="4" xfId="0" applyFont="1" applyBorder="1" applyAlignment="1"/>
    <xf numFmtId="0" fontId="0" fillId="0" borderId="5" xfId="0" applyFont="1" applyBorder="1" applyAlignment="1"/>
    <xf numFmtId="164" fontId="0" fillId="0" borderId="1" xfId="0" applyNumberFormat="1" applyFont="1" applyBorder="1" applyAlignment="1"/>
    <xf numFmtId="0" fontId="0" fillId="0" borderId="1" xfId="0" applyNumberFormat="1" applyFont="1" applyBorder="1" applyAlignment="1"/>
    <xf numFmtId="0" fontId="0" fillId="0" borderId="4" xfId="0" applyNumberFormat="1" applyFont="1" applyBorder="1" applyAlignment="1"/>
    <xf numFmtId="0" fontId="0" fillId="0" borderId="5" xfId="0" applyNumberFormat="1" applyFont="1" applyBorder="1" applyAlignment="1"/>
    <xf numFmtId="164" fontId="0" fillId="0" borderId="6" xfId="0" applyNumberFormat="1" applyFont="1" applyBorder="1" applyAlignment="1"/>
    <xf numFmtId="0" fontId="0" fillId="0" borderId="6" xfId="0" applyNumberFormat="1" applyFont="1" applyBorder="1" applyAlignment="1"/>
    <xf numFmtId="0" fontId="0" fillId="0" borderId="0" xfId="0" applyNumberFormat="1" applyFont="1" applyAlignment="1"/>
    <xf numFmtId="0" fontId="0" fillId="0" borderId="7" xfId="0" applyNumberFormat="1" applyFont="1" applyBorder="1" applyAlignment="1"/>
    <xf numFmtId="164" fontId="0" fillId="0" borderId="8" xfId="0" applyNumberFormat="1" applyFont="1" applyBorder="1" applyAlignment="1"/>
    <xf numFmtId="0" fontId="0" fillId="0" borderId="8" xfId="0" applyNumberFormat="1" applyFont="1" applyBorder="1" applyAlignment="1"/>
    <xf numFmtId="0" fontId="0" fillId="0" borderId="9" xfId="0" applyNumberFormat="1" applyFont="1" applyBorder="1" applyAlignment="1"/>
    <xf numFmtId="0" fontId="0" fillId="0" borderId="10" xfId="0" applyNumberFormat="1" applyFont="1" applyBorder="1" applyAlignment="1"/>
  </cellXfs>
  <cellStyles count="1">
    <cellStyle name="Обычный" xfId="0" builtinId="0"/>
  </cellStyles>
  <dxfs count="2">
    <dxf>
      <fill>
        <patternFill patternType="solid">
          <fgColor rgb="FFEFEFEF"/>
          <bgColor rgb="FFEFEFEF"/>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8</xdr:col>
      <xdr:colOff>114300</xdr:colOff>
      <xdr:row>1</xdr:row>
      <xdr:rowOff>66675</xdr:rowOff>
    </xdr:from>
    <xdr:ext cx="2857500" cy="2857500"/>
    <mc:AlternateContent xmlns:mc="http://schemas.openxmlformats.org/markup-compatibility/2006" xmlns:sle15="http://schemas.microsoft.com/office/drawing/2012/slicer">
      <mc:Choice Requires="sle15">
        <xdr:graphicFrame macro="">
          <xdr:nvGraphicFramePr>
            <xdr:cNvPr id="2" name="promo_signup_flag_1"/>
            <xdr:cNvGraphicFramePr/>
          </xdr:nvGraphicFramePr>
          <xdr:xfrm>
            <a:off x="0" y="0"/>
            <a:ext cx="0" cy="0"/>
          </xdr:xfrm>
          <a:graphic>
            <a:graphicData uri="http://schemas.microsoft.com/office/drawing/2010/slicer">
              <sle:slicer xmlns:sle="http://schemas.microsoft.com/office/drawing/2010/slicer" name="promo_signup_flag_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OnLoad="1" refreshedBy="Owner" refreshedDate="46192.424489467594" refreshedVersion="5" recordCount="42">
  <cacheSource type="worksheet">
    <worksheetSource ref="A1:D43" sheet="Data"/>
  </cacheSource>
  <cacheFields count="4">
    <cacheField name="promo_signup_flag" numFmtId="0">
      <sharedItems containsSemiMixedTypes="0" containsString="0" containsNumber="1" containsInteger="1" minValue="0" maxValue="1"/>
    </cacheField>
    <cacheField name="cohort_month" numFmtId="164">
      <sharedItems containsSemiMixedTypes="0" containsNonDate="0" containsDate="1" containsString="0" minDate="2025-01-01T00:00:00" maxDate="2025-06-02T00:00:00" count="6">
        <d v="2025-01-01T00:00:00"/>
        <d v="2025-02-01T00:00:00"/>
        <d v="2025-03-01T00:00:00"/>
        <d v="2025-04-01T00:00:00"/>
        <d v="2025-05-01T00:00:00"/>
        <d v="2025-06-01T00:00:00"/>
      </sharedItems>
    </cacheField>
    <cacheField name="month_offset" numFmtId="0">
      <sharedItems containsSemiMixedTypes="0" containsString="0" containsNumber="1" containsInteger="1" minValue="0" maxValue="5" count="6">
        <n v="0"/>
        <n v="1"/>
        <n v="2"/>
        <n v="3"/>
        <n v="4"/>
        <n v="5"/>
      </sharedItems>
    </cacheField>
    <cacheField name="users_total" numFmtId="0">
      <sharedItems containsSemiMixedTypes="0" containsString="0" containsNumber="1" containsInteger="1" minValue="3" maxValue="7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2">
  <r>
    <n v="0"/>
    <x v="0"/>
    <x v="0"/>
    <n v="70"/>
  </r>
  <r>
    <n v="0"/>
    <x v="0"/>
    <x v="1"/>
    <n v="58"/>
  </r>
  <r>
    <n v="0"/>
    <x v="0"/>
    <x v="2"/>
    <n v="54"/>
  </r>
  <r>
    <n v="0"/>
    <x v="0"/>
    <x v="3"/>
    <n v="52"/>
  </r>
  <r>
    <n v="0"/>
    <x v="0"/>
    <x v="4"/>
    <n v="43"/>
  </r>
  <r>
    <n v="0"/>
    <x v="0"/>
    <x v="5"/>
    <n v="39"/>
  </r>
  <r>
    <n v="0"/>
    <x v="1"/>
    <x v="0"/>
    <n v="63"/>
  </r>
  <r>
    <n v="0"/>
    <x v="1"/>
    <x v="1"/>
    <n v="46"/>
  </r>
  <r>
    <n v="0"/>
    <x v="1"/>
    <x v="2"/>
    <n v="48"/>
  </r>
  <r>
    <n v="0"/>
    <x v="1"/>
    <x v="3"/>
    <n v="49"/>
  </r>
  <r>
    <n v="0"/>
    <x v="1"/>
    <x v="4"/>
    <n v="43"/>
  </r>
  <r>
    <n v="0"/>
    <x v="2"/>
    <x v="0"/>
    <n v="51"/>
  </r>
  <r>
    <n v="0"/>
    <x v="2"/>
    <x v="1"/>
    <n v="41"/>
  </r>
  <r>
    <n v="0"/>
    <x v="2"/>
    <x v="2"/>
    <n v="47"/>
  </r>
  <r>
    <n v="0"/>
    <x v="2"/>
    <x v="3"/>
    <n v="41"/>
  </r>
  <r>
    <n v="0"/>
    <x v="3"/>
    <x v="0"/>
    <n v="61"/>
  </r>
  <r>
    <n v="0"/>
    <x v="3"/>
    <x v="1"/>
    <n v="50"/>
  </r>
  <r>
    <n v="0"/>
    <x v="3"/>
    <x v="2"/>
    <n v="47"/>
  </r>
  <r>
    <n v="0"/>
    <x v="4"/>
    <x v="0"/>
    <n v="63"/>
  </r>
  <r>
    <n v="0"/>
    <x v="4"/>
    <x v="1"/>
    <n v="55"/>
  </r>
  <r>
    <n v="0"/>
    <x v="5"/>
    <x v="0"/>
    <n v="50"/>
  </r>
  <r>
    <n v="1"/>
    <x v="0"/>
    <x v="0"/>
    <n v="34"/>
  </r>
  <r>
    <n v="1"/>
    <x v="0"/>
    <x v="1"/>
    <n v="21"/>
  </r>
  <r>
    <n v="1"/>
    <x v="0"/>
    <x v="2"/>
    <n v="17"/>
  </r>
  <r>
    <n v="1"/>
    <x v="0"/>
    <x v="3"/>
    <n v="3"/>
  </r>
  <r>
    <n v="1"/>
    <x v="0"/>
    <x v="4"/>
    <n v="6"/>
  </r>
  <r>
    <n v="1"/>
    <x v="0"/>
    <x v="5"/>
    <n v="3"/>
  </r>
  <r>
    <n v="1"/>
    <x v="1"/>
    <x v="0"/>
    <n v="41"/>
  </r>
  <r>
    <n v="1"/>
    <x v="1"/>
    <x v="1"/>
    <n v="24"/>
  </r>
  <r>
    <n v="1"/>
    <x v="1"/>
    <x v="2"/>
    <n v="17"/>
  </r>
  <r>
    <n v="1"/>
    <x v="1"/>
    <x v="3"/>
    <n v="13"/>
  </r>
  <r>
    <n v="1"/>
    <x v="1"/>
    <x v="4"/>
    <n v="8"/>
  </r>
  <r>
    <n v="1"/>
    <x v="2"/>
    <x v="0"/>
    <n v="31"/>
  </r>
  <r>
    <n v="1"/>
    <x v="2"/>
    <x v="1"/>
    <n v="18"/>
  </r>
  <r>
    <n v="1"/>
    <x v="2"/>
    <x v="2"/>
    <n v="14"/>
  </r>
  <r>
    <n v="1"/>
    <x v="2"/>
    <x v="3"/>
    <n v="11"/>
  </r>
  <r>
    <n v="1"/>
    <x v="3"/>
    <x v="0"/>
    <n v="44"/>
  </r>
  <r>
    <n v="1"/>
    <x v="3"/>
    <x v="1"/>
    <n v="24"/>
  </r>
  <r>
    <n v="1"/>
    <x v="3"/>
    <x v="2"/>
    <n v="14"/>
  </r>
  <r>
    <n v="1"/>
    <x v="4"/>
    <x v="0"/>
    <n v="45"/>
  </r>
  <r>
    <n v="1"/>
    <x v="4"/>
    <x v="1"/>
    <n v="21"/>
  </r>
  <r>
    <n v="1"/>
    <x v="5"/>
    <x v="0"/>
    <n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hort_tables" cacheId="4" applyNumberFormats="0" applyBorderFormats="0" applyFontFormats="0" applyPatternFormats="0" applyAlignmentFormats="0" applyWidthHeightFormats="0" dataCaption="" updatedVersion="5" compact="0" compactData="0">
  <location ref="A1:H9" firstHeaderRow="1" firstDataRow="2" firstDataCol="1"/>
  <pivotFields count="4">
    <pivotField name="promo_signup_flag" compact="0" outline="0" multipleItemSelectionAllowed="1" showAll="0"/>
    <pivotField name="cohort_month" axis="axisRow" compact="0" numFmtId="164" outline="0" multipleItemSelectionAllowed="1" showAll="0" sortType="ascending">
      <items count="7">
        <item x="0"/>
        <item x="1"/>
        <item x="2"/>
        <item x="3"/>
        <item x="4"/>
        <item x="5"/>
        <item t="default"/>
      </items>
    </pivotField>
    <pivotField name="month_offset" axis="axisCol" compact="0" outline="0" multipleItemSelectionAllowed="1" showAll="0" sortType="ascending">
      <items count="7">
        <item x="0"/>
        <item x="1"/>
        <item x="2"/>
        <item x="3"/>
        <item x="4"/>
        <item x="5"/>
        <item t="default"/>
      </items>
    </pivotField>
    <pivotField name="users_total" dataField="1" compact="0" outline="0" multipleItemSelectionAllowed="1" showAll="0"/>
  </pivotFields>
  <rowFields count="1">
    <field x="1"/>
  </rowFields>
  <rowItems count="7">
    <i>
      <x/>
    </i>
    <i>
      <x v="1"/>
    </i>
    <i>
      <x v="2"/>
    </i>
    <i>
      <x v="3"/>
    </i>
    <i>
      <x v="4"/>
    </i>
    <i>
      <x v="5"/>
    </i>
    <i t="grand">
      <x/>
    </i>
  </rowItems>
  <colFields count="1">
    <field x="2"/>
  </colFields>
  <colItems count="7">
    <i>
      <x/>
    </i>
    <i>
      <x v="1"/>
    </i>
    <i>
      <x v="2"/>
    </i>
    <i>
      <x v="3"/>
    </i>
    <i>
      <x v="4"/>
    </i>
    <i>
      <x v="5"/>
    </i>
    <i t="grand">
      <x/>
    </i>
  </colItems>
  <dataFields count="1">
    <dataField name="SUM of users_total" fld="3" baseField="0"/>
  </dataFields>
  <pivotTableStyleInfo showRowHeaders="1" showColHeaders="1" showRowStripes="0" showColStripes="0" showLastColumn="1"/>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Cache_Table_1_Col_1" sourceName="promo_signup_flag">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mo_signup_flag_1" cache="SlicerCache_Table_1_Col_1" caption="promo_signup_flag" rowHeight="247650"/>
</slicers>
</file>

<file path=xl/tables/table1.xml><?xml version="1.0" encoding="utf-8"?>
<table xmlns="http://schemas.openxmlformats.org/spreadsheetml/2006/main" id="1" name="Table_1" displayName="Table_1" ref="A1:D43">
  <autoFilter ref="A1:D43"/>
  <tableColumns count="4">
    <tableColumn id="1" name="promo_signup_flag"/>
    <tableColumn id="2" name="cohort_month"/>
    <tableColumn id="3" name="month_offset"/>
    <tableColumn id="4" name="users_total"/>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43"/>
  <sheetViews>
    <sheetView topLeftCell="A11" workbookViewId="0"/>
  </sheetViews>
  <sheetFormatPr defaultColWidth="12.5703125" defaultRowHeight="15.75" customHeight="1" x14ac:dyDescent="0.2"/>
  <cols>
    <col min="1" max="4" width="17.42578125" customWidth="1"/>
  </cols>
  <sheetData>
    <row r="1" spans="1:4" x14ac:dyDescent="0.2">
      <c r="A1" s="1" t="s">
        <v>0</v>
      </c>
      <c r="B1" s="1" t="s">
        <v>1</v>
      </c>
      <c r="C1" s="1" t="s">
        <v>2</v>
      </c>
      <c r="D1" s="1" t="s">
        <v>3</v>
      </c>
    </row>
    <row r="2" spans="1:4" x14ac:dyDescent="0.2">
      <c r="A2" s="1">
        <v>0</v>
      </c>
      <c r="B2" s="2">
        <v>45658</v>
      </c>
      <c r="C2" s="1">
        <v>0</v>
      </c>
      <c r="D2" s="1">
        <v>70</v>
      </c>
    </row>
    <row r="3" spans="1:4" x14ac:dyDescent="0.2">
      <c r="A3" s="1">
        <v>0</v>
      </c>
      <c r="B3" s="2">
        <v>45658</v>
      </c>
      <c r="C3" s="1">
        <v>1</v>
      </c>
      <c r="D3" s="1">
        <v>58</v>
      </c>
    </row>
    <row r="4" spans="1:4" x14ac:dyDescent="0.2">
      <c r="A4" s="1">
        <v>0</v>
      </c>
      <c r="B4" s="2">
        <v>45658</v>
      </c>
      <c r="C4" s="1">
        <v>2</v>
      </c>
      <c r="D4" s="1">
        <v>54</v>
      </c>
    </row>
    <row r="5" spans="1:4" x14ac:dyDescent="0.2">
      <c r="A5" s="1">
        <v>0</v>
      </c>
      <c r="B5" s="2">
        <v>45658</v>
      </c>
      <c r="C5" s="1">
        <v>3</v>
      </c>
      <c r="D5" s="1">
        <v>52</v>
      </c>
    </row>
    <row r="6" spans="1:4" x14ac:dyDescent="0.2">
      <c r="A6" s="1">
        <v>0</v>
      </c>
      <c r="B6" s="2">
        <v>45658</v>
      </c>
      <c r="C6" s="1">
        <v>4</v>
      </c>
      <c r="D6" s="1">
        <v>43</v>
      </c>
    </row>
    <row r="7" spans="1:4" x14ac:dyDescent="0.2">
      <c r="A7" s="1">
        <v>0</v>
      </c>
      <c r="B7" s="2">
        <v>45658</v>
      </c>
      <c r="C7" s="1">
        <v>5</v>
      </c>
      <c r="D7" s="1">
        <v>39</v>
      </c>
    </row>
    <row r="8" spans="1:4" x14ac:dyDescent="0.2">
      <c r="A8" s="1">
        <v>0</v>
      </c>
      <c r="B8" s="2">
        <v>45689</v>
      </c>
      <c r="C8" s="1">
        <v>0</v>
      </c>
      <c r="D8" s="1">
        <v>63</v>
      </c>
    </row>
    <row r="9" spans="1:4" x14ac:dyDescent="0.2">
      <c r="A9" s="1">
        <v>0</v>
      </c>
      <c r="B9" s="2">
        <v>45689</v>
      </c>
      <c r="C9" s="1">
        <v>1</v>
      </c>
      <c r="D9" s="1">
        <v>46</v>
      </c>
    </row>
    <row r="10" spans="1:4" x14ac:dyDescent="0.2">
      <c r="A10" s="1">
        <v>0</v>
      </c>
      <c r="B10" s="2">
        <v>45689</v>
      </c>
      <c r="C10" s="1">
        <v>2</v>
      </c>
      <c r="D10" s="1">
        <v>48</v>
      </c>
    </row>
    <row r="11" spans="1:4" x14ac:dyDescent="0.2">
      <c r="A11" s="1">
        <v>0</v>
      </c>
      <c r="B11" s="2">
        <v>45689</v>
      </c>
      <c r="C11" s="1">
        <v>3</v>
      </c>
      <c r="D11" s="1">
        <v>49</v>
      </c>
    </row>
    <row r="12" spans="1:4" x14ac:dyDescent="0.2">
      <c r="A12" s="1">
        <v>0</v>
      </c>
      <c r="B12" s="2">
        <v>45689</v>
      </c>
      <c r="C12" s="1">
        <v>4</v>
      </c>
      <c r="D12" s="1">
        <v>43</v>
      </c>
    </row>
    <row r="13" spans="1:4" x14ac:dyDescent="0.2">
      <c r="A13" s="1">
        <v>0</v>
      </c>
      <c r="B13" s="2">
        <v>45717</v>
      </c>
      <c r="C13" s="1">
        <v>0</v>
      </c>
      <c r="D13" s="1">
        <v>51</v>
      </c>
    </row>
    <row r="14" spans="1:4" x14ac:dyDescent="0.2">
      <c r="A14" s="1">
        <v>0</v>
      </c>
      <c r="B14" s="2">
        <v>45717</v>
      </c>
      <c r="C14" s="1">
        <v>1</v>
      </c>
      <c r="D14" s="1">
        <v>41</v>
      </c>
    </row>
    <row r="15" spans="1:4" x14ac:dyDescent="0.2">
      <c r="A15" s="1">
        <v>0</v>
      </c>
      <c r="B15" s="2">
        <v>45717</v>
      </c>
      <c r="C15" s="1">
        <v>2</v>
      </c>
      <c r="D15" s="1">
        <v>47</v>
      </c>
    </row>
    <row r="16" spans="1:4" x14ac:dyDescent="0.2">
      <c r="A16" s="1">
        <v>0</v>
      </c>
      <c r="B16" s="2">
        <v>45717</v>
      </c>
      <c r="C16" s="1">
        <v>3</v>
      </c>
      <c r="D16" s="1">
        <v>41</v>
      </c>
    </row>
    <row r="17" spans="1:4" x14ac:dyDescent="0.2">
      <c r="A17" s="1">
        <v>0</v>
      </c>
      <c r="B17" s="2">
        <v>45748</v>
      </c>
      <c r="C17" s="1">
        <v>0</v>
      </c>
      <c r="D17" s="1">
        <v>61</v>
      </c>
    </row>
    <row r="18" spans="1:4" x14ac:dyDescent="0.2">
      <c r="A18" s="1">
        <v>0</v>
      </c>
      <c r="B18" s="2">
        <v>45748</v>
      </c>
      <c r="C18" s="1">
        <v>1</v>
      </c>
      <c r="D18" s="1">
        <v>50</v>
      </c>
    </row>
    <row r="19" spans="1:4" x14ac:dyDescent="0.2">
      <c r="A19" s="1">
        <v>0</v>
      </c>
      <c r="B19" s="2">
        <v>45748</v>
      </c>
      <c r="C19" s="1">
        <v>2</v>
      </c>
      <c r="D19" s="1">
        <v>47</v>
      </c>
    </row>
    <row r="20" spans="1:4" x14ac:dyDescent="0.2">
      <c r="A20" s="1">
        <v>0</v>
      </c>
      <c r="B20" s="2">
        <v>45778</v>
      </c>
      <c r="C20" s="1">
        <v>0</v>
      </c>
      <c r="D20" s="1">
        <v>63</v>
      </c>
    </row>
    <row r="21" spans="1:4" x14ac:dyDescent="0.2">
      <c r="A21" s="1">
        <v>0</v>
      </c>
      <c r="B21" s="2">
        <v>45778</v>
      </c>
      <c r="C21" s="1">
        <v>1</v>
      </c>
      <c r="D21" s="1">
        <v>55</v>
      </c>
    </row>
    <row r="22" spans="1:4" x14ac:dyDescent="0.2">
      <c r="A22" s="1">
        <v>0</v>
      </c>
      <c r="B22" s="2">
        <v>45809</v>
      </c>
      <c r="C22" s="1">
        <v>0</v>
      </c>
      <c r="D22" s="1">
        <v>50</v>
      </c>
    </row>
    <row r="23" spans="1:4" x14ac:dyDescent="0.2">
      <c r="A23" s="1">
        <v>1</v>
      </c>
      <c r="B23" s="2">
        <v>45658</v>
      </c>
      <c r="C23" s="1">
        <v>0</v>
      </c>
      <c r="D23" s="1">
        <v>34</v>
      </c>
    </row>
    <row r="24" spans="1:4" x14ac:dyDescent="0.2">
      <c r="A24" s="1">
        <v>1</v>
      </c>
      <c r="B24" s="2">
        <v>45658</v>
      </c>
      <c r="C24" s="1">
        <v>1</v>
      </c>
      <c r="D24" s="1">
        <v>21</v>
      </c>
    </row>
    <row r="25" spans="1:4" x14ac:dyDescent="0.2">
      <c r="A25" s="1">
        <v>1</v>
      </c>
      <c r="B25" s="2">
        <v>45658</v>
      </c>
      <c r="C25" s="1">
        <v>2</v>
      </c>
      <c r="D25" s="1">
        <v>17</v>
      </c>
    </row>
    <row r="26" spans="1:4" x14ac:dyDescent="0.2">
      <c r="A26" s="1">
        <v>1</v>
      </c>
      <c r="B26" s="2">
        <v>45658</v>
      </c>
      <c r="C26" s="1">
        <v>3</v>
      </c>
      <c r="D26" s="1">
        <v>3</v>
      </c>
    </row>
    <row r="27" spans="1:4" x14ac:dyDescent="0.2">
      <c r="A27" s="1">
        <v>1</v>
      </c>
      <c r="B27" s="2">
        <v>45658</v>
      </c>
      <c r="C27" s="1">
        <v>4</v>
      </c>
      <c r="D27" s="1">
        <v>6</v>
      </c>
    </row>
    <row r="28" spans="1:4" x14ac:dyDescent="0.2">
      <c r="A28" s="1">
        <v>1</v>
      </c>
      <c r="B28" s="2">
        <v>45658</v>
      </c>
      <c r="C28" s="1">
        <v>5</v>
      </c>
      <c r="D28" s="1">
        <v>3</v>
      </c>
    </row>
    <row r="29" spans="1:4" x14ac:dyDescent="0.2">
      <c r="A29" s="1">
        <v>1</v>
      </c>
      <c r="B29" s="2">
        <v>45689</v>
      </c>
      <c r="C29" s="1">
        <v>0</v>
      </c>
      <c r="D29" s="1">
        <v>41</v>
      </c>
    </row>
    <row r="30" spans="1:4" x14ac:dyDescent="0.2">
      <c r="A30" s="1">
        <v>1</v>
      </c>
      <c r="B30" s="2">
        <v>45689</v>
      </c>
      <c r="C30" s="1">
        <v>1</v>
      </c>
      <c r="D30" s="1">
        <v>24</v>
      </c>
    </row>
    <row r="31" spans="1:4" x14ac:dyDescent="0.2">
      <c r="A31" s="1">
        <v>1</v>
      </c>
      <c r="B31" s="2">
        <v>45689</v>
      </c>
      <c r="C31" s="1">
        <v>2</v>
      </c>
      <c r="D31" s="1">
        <v>17</v>
      </c>
    </row>
    <row r="32" spans="1:4" x14ac:dyDescent="0.2">
      <c r="A32" s="1">
        <v>1</v>
      </c>
      <c r="B32" s="2">
        <v>45689</v>
      </c>
      <c r="C32" s="1">
        <v>3</v>
      </c>
      <c r="D32" s="1">
        <v>13</v>
      </c>
    </row>
    <row r="33" spans="1:4" x14ac:dyDescent="0.2">
      <c r="A33" s="1">
        <v>1</v>
      </c>
      <c r="B33" s="2">
        <v>45689</v>
      </c>
      <c r="C33" s="1">
        <v>4</v>
      </c>
      <c r="D33" s="1">
        <v>8</v>
      </c>
    </row>
    <row r="34" spans="1:4" x14ac:dyDescent="0.2">
      <c r="A34" s="1">
        <v>1</v>
      </c>
      <c r="B34" s="2">
        <v>45717</v>
      </c>
      <c r="C34" s="1">
        <v>0</v>
      </c>
      <c r="D34" s="1">
        <v>31</v>
      </c>
    </row>
    <row r="35" spans="1:4" x14ac:dyDescent="0.2">
      <c r="A35" s="1">
        <v>1</v>
      </c>
      <c r="B35" s="2">
        <v>45717</v>
      </c>
      <c r="C35" s="1">
        <v>1</v>
      </c>
      <c r="D35" s="1">
        <v>18</v>
      </c>
    </row>
    <row r="36" spans="1:4" x14ac:dyDescent="0.2">
      <c r="A36" s="1">
        <v>1</v>
      </c>
      <c r="B36" s="2">
        <v>45717</v>
      </c>
      <c r="C36" s="1">
        <v>2</v>
      </c>
      <c r="D36" s="1">
        <v>14</v>
      </c>
    </row>
    <row r="37" spans="1:4" x14ac:dyDescent="0.2">
      <c r="A37" s="1">
        <v>1</v>
      </c>
      <c r="B37" s="2">
        <v>45717</v>
      </c>
      <c r="C37" s="1">
        <v>3</v>
      </c>
      <c r="D37" s="1">
        <v>11</v>
      </c>
    </row>
    <row r="38" spans="1:4" x14ac:dyDescent="0.2">
      <c r="A38" s="1">
        <v>1</v>
      </c>
      <c r="B38" s="2">
        <v>45748</v>
      </c>
      <c r="C38" s="1">
        <v>0</v>
      </c>
      <c r="D38" s="1">
        <v>44</v>
      </c>
    </row>
    <row r="39" spans="1:4" x14ac:dyDescent="0.2">
      <c r="A39" s="1">
        <v>1</v>
      </c>
      <c r="B39" s="2">
        <v>45748</v>
      </c>
      <c r="C39" s="1">
        <v>1</v>
      </c>
      <c r="D39" s="1">
        <v>24</v>
      </c>
    </row>
    <row r="40" spans="1:4" x14ac:dyDescent="0.2">
      <c r="A40" s="1">
        <v>1</v>
      </c>
      <c r="B40" s="2">
        <v>45748</v>
      </c>
      <c r="C40" s="1">
        <v>2</v>
      </c>
      <c r="D40" s="1">
        <v>14</v>
      </c>
    </row>
    <row r="41" spans="1:4" x14ac:dyDescent="0.2">
      <c r="A41" s="1">
        <v>1</v>
      </c>
      <c r="B41" s="2">
        <v>45778</v>
      </c>
      <c r="C41" s="1">
        <v>0</v>
      </c>
      <c r="D41" s="1">
        <v>45</v>
      </c>
    </row>
    <row r="42" spans="1:4" x14ac:dyDescent="0.2">
      <c r="A42" s="1">
        <v>1</v>
      </c>
      <c r="B42" s="2">
        <v>45778</v>
      </c>
      <c r="C42" s="1">
        <v>1</v>
      </c>
      <c r="D42" s="1">
        <v>21</v>
      </c>
    </row>
    <row r="43" spans="1:4" x14ac:dyDescent="0.2">
      <c r="A43" s="1">
        <v>1</v>
      </c>
      <c r="B43" s="2">
        <v>45809</v>
      </c>
      <c r="C43" s="1">
        <v>0</v>
      </c>
      <c r="D43" s="1">
        <v>47</v>
      </c>
    </row>
  </sheetData>
  <customSheetViews>
    <customSheetView guid="{0A40933F-E93B-450A-ABAC-E5BAF29A419F}" filter="1" showAutoFilter="1">
      <pageMargins left="0.7" right="0.7" top="0.75" bottom="0.75" header="0.3" footer="0.3"/>
      <autoFilter ref="A1:D43"/>
    </customSheetView>
  </customSheetView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19"/>
  <sheetViews>
    <sheetView tabSelected="1" workbookViewId="0"/>
  </sheetViews>
  <sheetFormatPr defaultColWidth="12.5703125" defaultRowHeight="15.75" customHeight="1" x14ac:dyDescent="0.2"/>
  <sheetData>
    <row r="1" spans="1:8" x14ac:dyDescent="0.2">
      <c r="A1" s="27" t="s">
        <v>4</v>
      </c>
      <c r="B1" s="27" t="s">
        <v>2</v>
      </c>
      <c r="C1" s="28"/>
      <c r="D1" s="28"/>
      <c r="E1" s="28"/>
      <c r="F1" s="28"/>
      <c r="G1" s="28"/>
      <c r="H1" s="29"/>
    </row>
    <row r="2" spans="1:8" x14ac:dyDescent="0.2">
      <c r="A2" s="27" t="s">
        <v>1</v>
      </c>
      <c r="B2" s="30">
        <v>0</v>
      </c>
      <c r="C2" s="31">
        <v>1</v>
      </c>
      <c r="D2" s="31">
        <v>2</v>
      </c>
      <c r="E2" s="31">
        <v>3</v>
      </c>
      <c r="F2" s="31">
        <v>4</v>
      </c>
      <c r="G2" s="31">
        <v>5</v>
      </c>
      <c r="H2" s="32" t="s">
        <v>7</v>
      </c>
    </row>
    <row r="3" spans="1:8" x14ac:dyDescent="0.2">
      <c r="A3" s="33">
        <v>45658</v>
      </c>
      <c r="B3" s="34">
        <v>104</v>
      </c>
      <c r="C3" s="35">
        <v>79</v>
      </c>
      <c r="D3" s="35">
        <v>71</v>
      </c>
      <c r="E3" s="35">
        <v>55</v>
      </c>
      <c r="F3" s="35">
        <v>49</v>
      </c>
      <c r="G3" s="35">
        <v>42</v>
      </c>
      <c r="H3" s="36">
        <v>400</v>
      </c>
    </row>
    <row r="4" spans="1:8" x14ac:dyDescent="0.2">
      <c r="A4" s="37">
        <v>45689</v>
      </c>
      <c r="B4" s="38">
        <v>104</v>
      </c>
      <c r="C4" s="39">
        <v>70</v>
      </c>
      <c r="D4" s="39">
        <v>65</v>
      </c>
      <c r="E4" s="39">
        <v>62</v>
      </c>
      <c r="F4" s="39">
        <v>51</v>
      </c>
      <c r="G4" s="39"/>
      <c r="H4" s="40">
        <v>352</v>
      </c>
    </row>
    <row r="5" spans="1:8" x14ac:dyDescent="0.2">
      <c r="A5" s="37">
        <v>45717</v>
      </c>
      <c r="B5" s="38">
        <v>82</v>
      </c>
      <c r="C5" s="39">
        <v>59</v>
      </c>
      <c r="D5" s="39">
        <v>61</v>
      </c>
      <c r="E5" s="39">
        <v>52</v>
      </c>
      <c r="F5" s="39"/>
      <c r="G5" s="39"/>
      <c r="H5" s="40">
        <v>254</v>
      </c>
    </row>
    <row r="6" spans="1:8" x14ac:dyDescent="0.2">
      <c r="A6" s="37">
        <v>45748</v>
      </c>
      <c r="B6" s="38">
        <v>105</v>
      </c>
      <c r="C6" s="39">
        <v>74</v>
      </c>
      <c r="D6" s="39">
        <v>61</v>
      </c>
      <c r="E6" s="39"/>
      <c r="F6" s="39"/>
      <c r="G6" s="39"/>
      <c r="H6" s="40">
        <v>240</v>
      </c>
    </row>
    <row r="7" spans="1:8" x14ac:dyDescent="0.2">
      <c r="A7" s="37">
        <v>45778</v>
      </c>
      <c r="B7" s="38">
        <v>108</v>
      </c>
      <c r="C7" s="39">
        <v>76</v>
      </c>
      <c r="D7" s="39"/>
      <c r="E7" s="39"/>
      <c r="F7" s="39"/>
      <c r="G7" s="39"/>
      <c r="H7" s="40">
        <v>184</v>
      </c>
    </row>
    <row r="8" spans="1:8" x14ac:dyDescent="0.2">
      <c r="A8" s="37">
        <v>45809</v>
      </c>
      <c r="B8" s="38">
        <v>97</v>
      </c>
      <c r="C8" s="39"/>
      <c r="D8" s="39"/>
      <c r="E8" s="39"/>
      <c r="F8" s="39"/>
      <c r="G8" s="39"/>
      <c r="H8" s="40">
        <v>97</v>
      </c>
    </row>
    <row r="9" spans="1:8" x14ac:dyDescent="0.2">
      <c r="A9" s="41" t="s">
        <v>7</v>
      </c>
      <c r="B9" s="42">
        <v>600</v>
      </c>
      <c r="C9" s="43">
        <v>358</v>
      </c>
      <c r="D9" s="43">
        <v>258</v>
      </c>
      <c r="E9" s="43">
        <v>169</v>
      </c>
      <c r="F9" s="43">
        <v>100</v>
      </c>
      <c r="G9" s="43">
        <v>42</v>
      </c>
      <c r="H9" s="44">
        <v>1527</v>
      </c>
    </row>
    <row r="12" spans="1:8" x14ac:dyDescent="0.2">
      <c r="B12" s="3" t="str">
        <f>B1</f>
        <v>month_offset</v>
      </c>
    </row>
    <row r="13" spans="1:8" x14ac:dyDescent="0.2">
      <c r="A13" s="3" t="str">
        <f t="shared" ref="A13:G13" si="0">A2</f>
        <v>cohort_month</v>
      </c>
      <c r="B13" s="4">
        <f t="shared" si="0"/>
        <v>0</v>
      </c>
      <c r="C13" s="4">
        <f t="shared" si="0"/>
        <v>1</v>
      </c>
      <c r="D13" s="4">
        <f t="shared" si="0"/>
        <v>2</v>
      </c>
      <c r="E13" s="4">
        <f t="shared" si="0"/>
        <v>3</v>
      </c>
      <c r="F13" s="4">
        <f t="shared" si="0"/>
        <v>4</v>
      </c>
      <c r="G13" s="4">
        <f t="shared" si="0"/>
        <v>5</v>
      </c>
      <c r="H13" s="5"/>
    </row>
    <row r="14" spans="1:8" x14ac:dyDescent="0.2">
      <c r="A14" s="6">
        <f t="shared" ref="A14:A19" si="1">A3</f>
        <v>45658</v>
      </c>
      <c r="B14" s="7">
        <f t="shared" ref="B14:G14" si="2">IF(B3="", "", B3/$B3)</f>
        <v>1</v>
      </c>
      <c r="C14" s="8">
        <f t="shared" si="2"/>
        <v>0.75961538461538458</v>
      </c>
      <c r="D14" s="9">
        <f t="shared" si="2"/>
        <v>0.68269230769230771</v>
      </c>
      <c r="E14" s="10">
        <f t="shared" si="2"/>
        <v>0.52884615384615385</v>
      </c>
      <c r="F14" s="11">
        <f t="shared" si="2"/>
        <v>0.47115384615384615</v>
      </c>
      <c r="G14" s="12">
        <f t="shared" si="2"/>
        <v>0.40384615384615385</v>
      </c>
      <c r="H14" s="13"/>
    </row>
    <row r="15" spans="1:8" x14ac:dyDescent="0.2">
      <c r="A15" s="6">
        <f t="shared" si="1"/>
        <v>45689</v>
      </c>
      <c r="B15" s="7">
        <f t="shared" ref="B15:G15" si="3">IF(B4="", "", B4/$B4)</f>
        <v>1</v>
      </c>
      <c r="C15" s="14">
        <f t="shared" si="3"/>
        <v>0.67307692307692313</v>
      </c>
      <c r="D15" s="15">
        <f t="shared" si="3"/>
        <v>0.625</v>
      </c>
      <c r="E15" s="16">
        <f t="shared" si="3"/>
        <v>0.59615384615384615</v>
      </c>
      <c r="F15" s="17">
        <f t="shared" si="3"/>
        <v>0.49038461538461536</v>
      </c>
      <c r="G15" s="13" t="str">
        <f t="shared" si="3"/>
        <v/>
      </c>
      <c r="H15" s="13"/>
    </row>
    <row r="16" spans="1:8" x14ac:dyDescent="0.2">
      <c r="A16" s="6">
        <f t="shared" si="1"/>
        <v>45717</v>
      </c>
      <c r="B16" s="7">
        <f t="shared" ref="B16:G16" si="4">IF(B5="", "", B5/$B5)</f>
        <v>1</v>
      </c>
      <c r="C16" s="18">
        <f t="shared" si="4"/>
        <v>0.71951219512195119</v>
      </c>
      <c r="D16" s="19">
        <f t="shared" si="4"/>
        <v>0.74390243902439024</v>
      </c>
      <c r="E16" s="20">
        <f t="shared" si="4"/>
        <v>0.63414634146341464</v>
      </c>
      <c r="F16" s="13" t="str">
        <f t="shared" si="4"/>
        <v/>
      </c>
      <c r="G16" s="13" t="str">
        <f t="shared" si="4"/>
        <v/>
      </c>
      <c r="H16" s="13"/>
    </row>
    <row r="17" spans="1:8" x14ac:dyDescent="0.2">
      <c r="A17" s="6">
        <f t="shared" si="1"/>
        <v>45748</v>
      </c>
      <c r="B17" s="7">
        <f t="shared" ref="B17:G17" si="5">IF(B6="", "", B6/$B6)</f>
        <v>1</v>
      </c>
      <c r="C17" s="21">
        <f t="shared" si="5"/>
        <v>0.70476190476190481</v>
      </c>
      <c r="D17" s="22">
        <f t="shared" si="5"/>
        <v>0.580952380952381</v>
      </c>
      <c r="E17" s="13" t="str">
        <f t="shared" si="5"/>
        <v/>
      </c>
      <c r="F17" s="13" t="str">
        <f t="shared" si="5"/>
        <v/>
      </c>
      <c r="G17" s="13" t="str">
        <f t="shared" si="5"/>
        <v/>
      </c>
      <c r="H17" s="13"/>
    </row>
    <row r="18" spans="1:8" x14ac:dyDescent="0.2">
      <c r="A18" s="6">
        <f t="shared" si="1"/>
        <v>45778</v>
      </c>
      <c r="B18" s="7">
        <f t="shared" ref="B18:G18" si="6">IF(B7="", "", B7/$B7)</f>
        <v>1</v>
      </c>
      <c r="C18" s="23">
        <f t="shared" si="6"/>
        <v>0.70370370370370372</v>
      </c>
      <c r="D18" s="13" t="str">
        <f t="shared" si="6"/>
        <v/>
      </c>
      <c r="E18" s="13" t="str">
        <f t="shared" si="6"/>
        <v/>
      </c>
      <c r="F18" s="13" t="str">
        <f t="shared" si="6"/>
        <v/>
      </c>
      <c r="G18" s="13" t="str">
        <f t="shared" si="6"/>
        <v/>
      </c>
      <c r="H18" s="13"/>
    </row>
    <row r="19" spans="1:8" x14ac:dyDescent="0.2">
      <c r="A19" s="6">
        <f t="shared" si="1"/>
        <v>45809</v>
      </c>
      <c r="B19" s="7">
        <f t="shared" ref="B19:G19" si="7">IF(B8="", "", B8/$B8)</f>
        <v>1</v>
      </c>
      <c r="C19" s="13" t="str">
        <f t="shared" si="7"/>
        <v/>
      </c>
      <c r="D19" s="13" t="str">
        <f t="shared" si="7"/>
        <v/>
      </c>
      <c r="E19" s="13" t="str">
        <f t="shared" si="7"/>
        <v/>
      </c>
      <c r="F19" s="13" t="str">
        <f t="shared" si="7"/>
        <v/>
      </c>
      <c r="G19" s="13" t="str">
        <f t="shared" si="7"/>
        <v/>
      </c>
      <c r="H19" s="13"/>
    </row>
  </sheetData>
  <conditionalFormatting sqref="C14:G19">
    <cfRule type="colorScale" priority="1">
      <colorScale>
        <cfvo type="formula" val="0.5571428571"/>
        <cfvo type="percentile" val="50"/>
        <cfvo type="formula" val="1"/>
        <color rgb="FFE06666"/>
        <color rgb="FFFFE599"/>
        <color rgb="FF57BB8A"/>
      </colorScale>
    </cfRule>
  </conditionalFormatting>
  <conditionalFormatting sqref="J18">
    <cfRule type="notContainsBlanks" dxfId="1" priority="2">
      <formula>LEN(TRIM(J18))&gt;0</formula>
    </cfRule>
  </conditionalFormatting>
  <conditionalFormatting sqref="B14:B19">
    <cfRule type="notContainsBlanks" dxfId="0" priority="4">
      <formula>LEN(TRIM(B14))&gt;0</formula>
    </cfRule>
  </conditionalFormatting>
  <pageMargins left="0.7" right="0.7" top="0.75" bottom="0.75" header="0.3" footer="0.3"/>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5703125" defaultRowHeight="15.75" customHeight="1" x14ac:dyDescent="0.2"/>
  <cols>
    <col min="2" max="2" width="103.5703125" customWidth="1"/>
  </cols>
  <sheetData>
    <row r="1" spans="1:26" ht="150.75" customHeight="1" x14ac:dyDescent="0.2">
      <c r="A1" s="24" t="s">
        <v>5</v>
      </c>
      <c r="B1" s="25" t="s">
        <v>6</v>
      </c>
      <c r="C1" s="26"/>
      <c r="D1" s="26"/>
      <c r="E1" s="26"/>
      <c r="F1" s="26"/>
      <c r="G1" s="26"/>
      <c r="H1" s="26"/>
      <c r="I1" s="26"/>
      <c r="J1" s="26"/>
      <c r="K1" s="26"/>
      <c r="L1" s="26"/>
      <c r="M1" s="26"/>
      <c r="N1" s="26"/>
      <c r="O1" s="26"/>
      <c r="P1" s="26"/>
      <c r="Q1" s="26"/>
      <c r="R1" s="26"/>
      <c r="S1" s="26"/>
      <c r="T1" s="26"/>
      <c r="U1" s="26"/>
      <c r="V1" s="26"/>
      <c r="W1" s="26"/>
      <c r="X1" s="26"/>
      <c r="Y1" s="26"/>
      <c r="Z1" s="26"/>
    </row>
    <row r="2" spans="1:26" ht="12.75" x14ac:dyDescent="0.2">
      <c r="A2" s="26"/>
      <c r="B2" s="26"/>
      <c r="C2" s="26"/>
      <c r="D2" s="26"/>
      <c r="E2" s="26"/>
      <c r="F2" s="26"/>
      <c r="G2" s="26"/>
      <c r="H2" s="26"/>
      <c r="I2" s="26"/>
      <c r="J2" s="26"/>
      <c r="K2" s="26"/>
      <c r="L2" s="26"/>
      <c r="M2" s="26"/>
      <c r="N2" s="26"/>
      <c r="O2" s="26"/>
      <c r="P2" s="26"/>
      <c r="Q2" s="26"/>
      <c r="R2" s="26"/>
      <c r="S2" s="26"/>
      <c r="T2" s="26"/>
      <c r="U2" s="26"/>
      <c r="V2" s="26"/>
      <c r="W2" s="26"/>
      <c r="X2" s="26"/>
      <c r="Y2" s="26"/>
      <c r="Z2" s="26"/>
    </row>
    <row r="3" spans="1:26" ht="12.75" x14ac:dyDescent="0.2">
      <c r="A3" s="26"/>
      <c r="B3" s="26"/>
      <c r="C3" s="26"/>
      <c r="D3" s="26"/>
      <c r="E3" s="26"/>
      <c r="F3" s="26"/>
      <c r="G3" s="26"/>
      <c r="H3" s="26"/>
      <c r="I3" s="26"/>
      <c r="J3" s="26"/>
      <c r="K3" s="26"/>
      <c r="L3" s="26"/>
      <c r="M3" s="26"/>
      <c r="N3" s="26"/>
      <c r="O3" s="26"/>
      <c r="P3" s="26"/>
      <c r="Q3" s="26"/>
      <c r="R3" s="26"/>
      <c r="S3" s="26"/>
      <c r="T3" s="26"/>
      <c r="U3" s="26"/>
      <c r="V3" s="26"/>
      <c r="W3" s="26"/>
      <c r="X3" s="26"/>
      <c r="Y3" s="26"/>
      <c r="Z3" s="26"/>
    </row>
    <row r="4" spans="1:26" ht="12.75" x14ac:dyDescent="0.2">
      <c r="A4" s="26"/>
      <c r="B4" s="26"/>
      <c r="C4" s="26"/>
      <c r="D4" s="26"/>
      <c r="E4" s="26"/>
      <c r="F4" s="26"/>
      <c r="G4" s="26"/>
      <c r="H4" s="26"/>
      <c r="I4" s="26"/>
      <c r="J4" s="26"/>
      <c r="K4" s="26"/>
      <c r="L4" s="26"/>
      <c r="M4" s="26"/>
      <c r="N4" s="26"/>
      <c r="O4" s="26"/>
      <c r="P4" s="26"/>
      <c r="Q4" s="26"/>
      <c r="R4" s="26"/>
      <c r="S4" s="26"/>
      <c r="T4" s="26"/>
      <c r="U4" s="26"/>
      <c r="V4" s="26"/>
      <c r="W4" s="26"/>
      <c r="X4" s="26"/>
      <c r="Y4" s="26"/>
      <c r="Z4" s="26"/>
    </row>
    <row r="5" spans="1:26" ht="12.75" x14ac:dyDescent="0.2">
      <c r="A5" s="26"/>
      <c r="B5" s="26"/>
      <c r="C5" s="26"/>
      <c r="D5" s="26"/>
      <c r="E5" s="26"/>
      <c r="F5" s="26"/>
      <c r="G5" s="26"/>
      <c r="H5" s="26"/>
      <c r="I5" s="26"/>
      <c r="J5" s="26"/>
      <c r="K5" s="26"/>
      <c r="L5" s="26"/>
      <c r="M5" s="26"/>
      <c r="N5" s="26"/>
      <c r="O5" s="26"/>
      <c r="P5" s="26"/>
      <c r="Q5" s="26"/>
      <c r="R5" s="26"/>
      <c r="S5" s="26"/>
      <c r="T5" s="26"/>
      <c r="U5" s="26"/>
      <c r="V5" s="26"/>
      <c r="W5" s="26"/>
      <c r="X5" s="26"/>
      <c r="Y5" s="26"/>
      <c r="Z5" s="26"/>
    </row>
    <row r="6" spans="1:26" ht="12.75" x14ac:dyDescent="0.2">
      <c r="A6" s="26"/>
      <c r="B6" s="26"/>
      <c r="C6" s="26"/>
      <c r="D6" s="26"/>
      <c r="E6" s="26"/>
      <c r="F6" s="26"/>
      <c r="G6" s="26"/>
      <c r="H6" s="26"/>
      <c r="I6" s="26"/>
      <c r="J6" s="26"/>
      <c r="K6" s="26"/>
      <c r="L6" s="26"/>
      <c r="M6" s="26"/>
      <c r="N6" s="26"/>
      <c r="O6" s="26"/>
      <c r="P6" s="26"/>
      <c r="Q6" s="26"/>
      <c r="R6" s="26"/>
      <c r="S6" s="26"/>
      <c r="T6" s="26"/>
      <c r="U6" s="26"/>
      <c r="V6" s="26"/>
      <c r="W6" s="26"/>
      <c r="X6" s="26"/>
      <c r="Y6" s="26"/>
      <c r="Z6" s="26"/>
    </row>
    <row r="7" spans="1:26" ht="12.75" x14ac:dyDescent="0.2">
      <c r="A7" s="26"/>
      <c r="B7" s="26"/>
      <c r="C7" s="26"/>
      <c r="D7" s="26"/>
      <c r="E7" s="26"/>
      <c r="F7" s="26"/>
      <c r="G7" s="26"/>
      <c r="H7" s="26"/>
      <c r="I7" s="26"/>
      <c r="J7" s="26"/>
      <c r="K7" s="26"/>
      <c r="L7" s="26"/>
      <c r="M7" s="26"/>
      <c r="N7" s="26"/>
      <c r="O7" s="26"/>
      <c r="P7" s="26"/>
      <c r="Q7" s="26"/>
      <c r="R7" s="26"/>
      <c r="S7" s="26"/>
      <c r="T7" s="26"/>
      <c r="U7" s="26"/>
      <c r="V7" s="26"/>
      <c r="W7" s="26"/>
      <c r="X7" s="26"/>
      <c r="Y7" s="26"/>
      <c r="Z7" s="26"/>
    </row>
    <row r="8" spans="1:26" ht="12.75" x14ac:dyDescent="0.2">
      <c r="A8" s="26"/>
      <c r="B8" s="26"/>
      <c r="C8" s="26"/>
      <c r="D8" s="26"/>
      <c r="E8" s="26"/>
      <c r="F8" s="26"/>
      <c r="G8" s="26"/>
      <c r="H8" s="26"/>
      <c r="I8" s="26"/>
      <c r="J8" s="26"/>
      <c r="K8" s="26"/>
      <c r="L8" s="26"/>
      <c r="M8" s="26"/>
      <c r="N8" s="26"/>
      <c r="O8" s="26"/>
      <c r="P8" s="26"/>
      <c r="Q8" s="26"/>
      <c r="R8" s="26"/>
      <c r="S8" s="26"/>
      <c r="T8" s="26"/>
      <c r="U8" s="26"/>
      <c r="V8" s="26"/>
      <c r="W8" s="26"/>
      <c r="X8" s="26"/>
      <c r="Y8" s="26"/>
      <c r="Z8" s="26"/>
    </row>
    <row r="9" spans="1:26" ht="12.75" x14ac:dyDescent="0.2">
      <c r="A9" s="26"/>
      <c r="B9" s="26"/>
      <c r="C9" s="26"/>
      <c r="D9" s="26"/>
      <c r="E9" s="26"/>
      <c r="F9" s="26"/>
      <c r="G9" s="26"/>
      <c r="H9" s="26"/>
      <c r="I9" s="26"/>
      <c r="J9" s="26"/>
      <c r="K9" s="26"/>
      <c r="L9" s="26"/>
      <c r="M9" s="26"/>
      <c r="N9" s="26"/>
      <c r="O9" s="26"/>
      <c r="P9" s="26"/>
      <c r="Q9" s="26"/>
      <c r="R9" s="26"/>
      <c r="S9" s="26"/>
      <c r="T9" s="26"/>
      <c r="U9" s="26"/>
      <c r="V9" s="26"/>
      <c r="W9" s="26"/>
      <c r="X9" s="26"/>
      <c r="Y9" s="26"/>
      <c r="Z9" s="26"/>
    </row>
    <row r="10" spans="1:26" ht="12.75" x14ac:dyDescent="0.2">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row>
    <row r="11" spans="1:26" ht="12.75" x14ac:dyDescent="0.2">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row>
    <row r="12" spans="1:26" ht="12.75" x14ac:dyDescent="0.2">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spans="1:26" ht="12.75" x14ac:dyDescent="0.2">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row>
    <row r="14" spans="1:26" ht="12.75" x14ac:dyDescent="0.2">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spans="1:26" ht="12.75" x14ac:dyDescent="0.2">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spans="1:26" ht="12.75" x14ac:dyDescent="0.2">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spans="1:26" ht="12.75" x14ac:dyDescent="0.2">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spans="1:26" ht="12.75" x14ac:dyDescent="0.2">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spans="1:26" ht="12.75" x14ac:dyDescent="0.2">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spans="1:26" ht="12.75" x14ac:dyDescent="0.2">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spans="1:26" ht="12.75" x14ac:dyDescent="0.2">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spans="1:26" ht="12.75" x14ac:dyDescent="0.2">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spans="1:26" ht="12.75" x14ac:dyDescent="0.2">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spans="1:26" ht="12.75" x14ac:dyDescent="0.2">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spans="1:26" ht="12.75" x14ac:dyDescent="0.2">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spans="1:26" ht="12.75" x14ac:dyDescent="0.2">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spans="1:26" ht="12.75" x14ac:dyDescent="0.2">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spans="1:26" ht="12.75" x14ac:dyDescent="0.2">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spans="1:26" ht="12.75" x14ac:dyDescent="0.2">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spans="1:26" ht="12.75" x14ac:dyDescent="0.2">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spans="1:26" ht="12.75" x14ac:dyDescent="0.2">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spans="1:26" ht="12.75" x14ac:dyDescent="0.2">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spans="1:26" ht="12.75" x14ac:dyDescent="0.2">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spans="1:26" ht="12.75" x14ac:dyDescent="0.2">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spans="1:26" ht="12.75" x14ac:dyDescent="0.2">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spans="1:26" ht="12.75" x14ac:dyDescent="0.2">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spans="1:26" ht="12.75" x14ac:dyDescent="0.2">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spans="1:26" ht="12.75" x14ac:dyDescent="0.2">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spans="1:26" ht="12.75" x14ac:dyDescent="0.2">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spans="1:26" ht="12.75" x14ac:dyDescent="0.2">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spans="1:26" ht="12.75" x14ac:dyDescent="0.2">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spans="1:26" ht="12.75" x14ac:dyDescent="0.2">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spans="1:26" ht="12.75" x14ac:dyDescent="0.2">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spans="1:26" ht="12.75" x14ac:dyDescent="0.2">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spans="1:26" ht="12.75" x14ac:dyDescent="0.2">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spans="1:26" ht="12.75" x14ac:dyDescent="0.2">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spans="1:26" ht="12.75" x14ac:dyDescent="0.2">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spans="1:26" ht="12.75" x14ac:dyDescent="0.2">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spans="1:26" ht="12.75" x14ac:dyDescent="0.2">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spans="1:26" ht="12.75" x14ac:dyDescent="0.2">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spans="1:26" ht="12.75" x14ac:dyDescent="0.2">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spans="1:26" ht="12.75" x14ac:dyDescent="0.2">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spans="1:26" ht="12.75" x14ac:dyDescent="0.2">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spans="1:26" ht="12.75" x14ac:dyDescent="0.2">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spans="1:26" ht="12.75" x14ac:dyDescent="0.2">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spans="1:26" ht="12.75" x14ac:dyDescent="0.2">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spans="1:26" ht="12.75" x14ac:dyDescent="0.2">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spans="1:26" ht="12.75" x14ac:dyDescent="0.2">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spans="1:26" ht="12.75" x14ac:dyDescent="0.2">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spans="1:26" ht="12.75" x14ac:dyDescent="0.2">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spans="1:26" ht="12.75" x14ac:dyDescent="0.2">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spans="1:26" ht="12.75" x14ac:dyDescent="0.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spans="1:26" ht="12.75" x14ac:dyDescent="0.2">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spans="1:26" ht="12.75" x14ac:dyDescent="0.2">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spans="1:26" ht="12.75" x14ac:dyDescent="0.2">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spans="1:26" ht="12.75" x14ac:dyDescent="0.2">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spans="1:26" ht="12.75" x14ac:dyDescent="0.2">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spans="1:26" ht="12.75" x14ac:dyDescent="0.2">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spans="1:26" ht="12.75" x14ac:dyDescent="0.2">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spans="1:26" ht="12.75" x14ac:dyDescent="0.2">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spans="1:26" ht="12.75" x14ac:dyDescent="0.2">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spans="1:26" ht="12.75" x14ac:dyDescent="0.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spans="1:26" ht="12.75" x14ac:dyDescent="0.2">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spans="1:26" ht="12.75" x14ac:dyDescent="0.2">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spans="1:26" ht="12.75" x14ac:dyDescent="0.2">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spans="1:26" ht="12.75" x14ac:dyDescent="0.2">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spans="1:26" ht="12.75" x14ac:dyDescent="0.2">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spans="1:26" ht="12.75" x14ac:dyDescent="0.2">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spans="1:26" ht="12.75" x14ac:dyDescent="0.2">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spans="1:26" ht="12.75" x14ac:dyDescent="0.2">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spans="1:26" ht="12.75" x14ac:dyDescent="0.2">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spans="1:26" ht="12.75" x14ac:dyDescent="0.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spans="1:26" ht="12.75" x14ac:dyDescent="0.2">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spans="1:26" ht="12.75" x14ac:dyDescent="0.2">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spans="1:26" ht="12.75" x14ac:dyDescent="0.2">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spans="1:26" ht="12.75" x14ac:dyDescent="0.2">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spans="1:26" ht="12.75" x14ac:dyDescent="0.2">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spans="1:26" ht="12.75" x14ac:dyDescent="0.2">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spans="1:26" ht="12.75" x14ac:dyDescent="0.2">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spans="1:26" ht="12.75" x14ac:dyDescent="0.2">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spans="1:26" ht="12.75" x14ac:dyDescent="0.2">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spans="1:26" ht="12.75" x14ac:dyDescent="0.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spans="1:26" ht="12.75" x14ac:dyDescent="0.2">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spans="1:26" ht="12.75" x14ac:dyDescent="0.2">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spans="1:26" ht="12.75" x14ac:dyDescent="0.2">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spans="1:26" ht="12.75" x14ac:dyDescent="0.2">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spans="1:26" ht="12.75" x14ac:dyDescent="0.2">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spans="1:26" ht="12.75" x14ac:dyDescent="0.2">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spans="1:26" ht="12.75" x14ac:dyDescent="0.2">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spans="1:26" ht="12.75" x14ac:dyDescent="0.2">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spans="1:26" ht="12.75" x14ac:dyDescent="0.2">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spans="1:26" ht="12.75" x14ac:dyDescent="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1:26" ht="12.75" x14ac:dyDescent="0.2">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spans="1:26" ht="12.75" x14ac:dyDescent="0.2">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spans="1:26" ht="12.75" x14ac:dyDescent="0.2">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spans="1:26" ht="12.75" x14ac:dyDescent="0.2">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spans="1:26" ht="12.75" x14ac:dyDescent="0.2">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spans="1:26" ht="12.75" x14ac:dyDescent="0.2">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spans="1:26" ht="12.75" x14ac:dyDescent="0.2">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spans="1:26" ht="12.75" x14ac:dyDescent="0.2">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spans="1:26" ht="12.75" x14ac:dyDescent="0.2">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1:26" ht="12.75" x14ac:dyDescent="0.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spans="1:26" ht="12.75" x14ac:dyDescent="0.2">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spans="1:26" ht="12.75" x14ac:dyDescent="0.2">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spans="1:26" ht="12.75" x14ac:dyDescent="0.2">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spans="1:26" ht="12.75" x14ac:dyDescent="0.2">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spans="1:26" ht="12.75" x14ac:dyDescent="0.2">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spans="1:26" ht="12.75" x14ac:dyDescent="0.2">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spans="1:26" ht="12.75" x14ac:dyDescent="0.2">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spans="1:26" ht="12.75" x14ac:dyDescent="0.2">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spans="1:26" ht="12.75" x14ac:dyDescent="0.2">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spans="1:26" ht="12.75" x14ac:dyDescent="0.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spans="1:26" ht="12.75" x14ac:dyDescent="0.2">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spans="1:26" ht="12.75" x14ac:dyDescent="0.2">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spans="1:26" ht="12.75" x14ac:dyDescent="0.2">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spans="1:26" ht="12.75" x14ac:dyDescent="0.2">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ht="12.75" x14ac:dyDescent="0.2">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ht="12.75" x14ac:dyDescent="0.2">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spans="1:26" ht="12.75" x14ac:dyDescent="0.2">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spans="1:26" ht="12.75" x14ac:dyDescent="0.2">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spans="1:26" ht="12.75" x14ac:dyDescent="0.2">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spans="1:26" ht="12.75" x14ac:dyDescent="0.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spans="1:26" ht="12.75" x14ac:dyDescent="0.2">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spans="1:26" ht="12.75" x14ac:dyDescent="0.2">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spans="1:26" ht="12.75" x14ac:dyDescent="0.2">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spans="1:26" ht="12.75" x14ac:dyDescent="0.2">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spans="1:26" ht="12.75" x14ac:dyDescent="0.2">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1:26" ht="12.75" x14ac:dyDescent="0.2">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spans="1:26" ht="12.75" x14ac:dyDescent="0.2">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spans="1:26" ht="12.75" x14ac:dyDescent="0.2">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ht="12.75" x14ac:dyDescent="0.2">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ht="12.75" x14ac:dyDescent="0.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spans="1:26" ht="12.75" x14ac:dyDescent="0.2">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spans="1:26" ht="12.75" x14ac:dyDescent="0.2">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spans="1:26" ht="12.75" x14ac:dyDescent="0.2">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spans="1:26" ht="12.75" x14ac:dyDescent="0.2">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spans="1:26" ht="12.75" x14ac:dyDescent="0.2">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spans="1:26" ht="12.75" x14ac:dyDescent="0.2">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spans="1:26" ht="12.75" x14ac:dyDescent="0.2">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spans="1:26" ht="12.75" x14ac:dyDescent="0.2">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spans="1:26" ht="12.75" x14ac:dyDescent="0.2">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spans="1:26" ht="12.75" x14ac:dyDescent="0.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spans="1:26" ht="12.75" x14ac:dyDescent="0.2">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spans="1:26" ht="12.75" x14ac:dyDescent="0.2">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spans="1:26" ht="12.75" x14ac:dyDescent="0.2">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spans="1:26" ht="12.75" x14ac:dyDescent="0.2">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spans="1:26" ht="12.75" x14ac:dyDescent="0.2">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spans="1:26" ht="12.75" x14ac:dyDescent="0.2">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spans="1:26" ht="12.75" x14ac:dyDescent="0.2">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spans="1:26" ht="12.75" x14ac:dyDescent="0.2">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spans="1:26" ht="12.75" x14ac:dyDescent="0.2">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spans="1:26" ht="12.75" x14ac:dyDescent="0.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spans="1:26" ht="12.75" x14ac:dyDescent="0.2">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spans="1:26" ht="12.75" x14ac:dyDescent="0.2">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spans="1:26" ht="12.75" x14ac:dyDescent="0.2">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spans="1:26" ht="12.75" x14ac:dyDescent="0.2">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spans="1:26" ht="12.75" x14ac:dyDescent="0.2">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spans="1:26" ht="12.75" x14ac:dyDescent="0.2">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spans="1:26" ht="12.75" x14ac:dyDescent="0.2">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spans="1:26" ht="12.75" x14ac:dyDescent="0.2">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spans="1:26" ht="12.75" x14ac:dyDescent="0.2">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spans="1:26" ht="12.75" x14ac:dyDescent="0.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spans="1:26" ht="12.75" x14ac:dyDescent="0.2">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spans="1:26" ht="12.75" x14ac:dyDescent="0.2">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spans="1:26" ht="12.75" x14ac:dyDescent="0.2">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spans="1:26" ht="12.75" x14ac:dyDescent="0.2">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spans="1:26" ht="12.75" x14ac:dyDescent="0.2">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spans="1:26" ht="12.75" x14ac:dyDescent="0.2">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spans="1:26" ht="12.75" x14ac:dyDescent="0.2">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spans="1:26" ht="12.75" x14ac:dyDescent="0.2">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spans="1:26" ht="12.75" x14ac:dyDescent="0.2">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spans="1:26" ht="12.75" x14ac:dyDescent="0.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ht="12.75" x14ac:dyDescent="0.2">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spans="1:26" ht="12.75" x14ac:dyDescent="0.2">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spans="1:26" ht="12.75" x14ac:dyDescent="0.2">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spans="1:26" ht="12.75" x14ac:dyDescent="0.2">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spans="1:26" ht="12.75" x14ac:dyDescent="0.2">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spans="1:26" ht="12.75" x14ac:dyDescent="0.2">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spans="1:26" ht="12.75" x14ac:dyDescent="0.2">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spans="1:26" ht="12.75" x14ac:dyDescent="0.2">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spans="1:26" ht="12.75" x14ac:dyDescent="0.2">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spans="1:26" ht="12.75" x14ac:dyDescent="0.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spans="1:26" ht="12.75" x14ac:dyDescent="0.2">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spans="1:26" ht="12.75" x14ac:dyDescent="0.2">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spans="1:26" ht="12.75" x14ac:dyDescent="0.2">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spans="1:26" ht="12.75" x14ac:dyDescent="0.2">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spans="1:26" ht="12.75" x14ac:dyDescent="0.2">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spans="1:26" ht="12.75" x14ac:dyDescent="0.2">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spans="1:26" ht="12.75" x14ac:dyDescent="0.2">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spans="1:26" ht="12.75" x14ac:dyDescent="0.2">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spans="1:26" ht="12.75" x14ac:dyDescent="0.2">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spans="1:26" ht="12.75" x14ac:dyDescent="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spans="1:26" ht="12.75" x14ac:dyDescent="0.2">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spans="1:26" ht="12.75" x14ac:dyDescent="0.2">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spans="1:26" ht="12.75" x14ac:dyDescent="0.2">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spans="1:26" ht="12.75" x14ac:dyDescent="0.2">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spans="1:26" ht="12.75" x14ac:dyDescent="0.2">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spans="1:26" ht="12.75" x14ac:dyDescent="0.2">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spans="1:26" ht="12.75" x14ac:dyDescent="0.2">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spans="1:26" ht="12.75" x14ac:dyDescent="0.2">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spans="1:26" ht="12.75" x14ac:dyDescent="0.2">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spans="1:26" ht="12.75" x14ac:dyDescent="0.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spans="1:26" ht="12.75" x14ac:dyDescent="0.2">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spans="1:26" ht="12.75" x14ac:dyDescent="0.2">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ht="12.75" x14ac:dyDescent="0.2">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ht="12.75" x14ac:dyDescent="0.2">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ht="12.75" x14ac:dyDescent="0.2">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ht="12.75" x14ac:dyDescent="0.2">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ht="12.75" x14ac:dyDescent="0.2">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ht="12.75" x14ac:dyDescent="0.2">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ht="12.75" x14ac:dyDescent="0.2">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2.75" x14ac:dyDescent="0.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ht="12.75" x14ac:dyDescent="0.2">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ht="12.75" x14ac:dyDescent="0.2">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ht="12.75" x14ac:dyDescent="0.2">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ht="12.75" x14ac:dyDescent="0.2">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ht="12.75" x14ac:dyDescent="0.2">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ht="12.75" x14ac:dyDescent="0.2">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ht="12.75" x14ac:dyDescent="0.2">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ht="12.75" x14ac:dyDescent="0.2">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ht="12.75" x14ac:dyDescent="0.2">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ht="12.75" x14ac:dyDescent="0.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ht="12.75" x14ac:dyDescent="0.2">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ht="12.75" x14ac:dyDescent="0.2">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ht="12.75" x14ac:dyDescent="0.2">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ht="12.75" x14ac:dyDescent="0.2">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ht="12.75" x14ac:dyDescent="0.2">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ht="12.75" x14ac:dyDescent="0.2">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ht="12.75" x14ac:dyDescent="0.2">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ht="12.75" x14ac:dyDescent="0.2">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ht="12.75" x14ac:dyDescent="0.2">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ht="12.75" x14ac:dyDescent="0.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ht="12.75" x14ac:dyDescent="0.2">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ht="12.75" x14ac:dyDescent="0.2">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ht="12.75" x14ac:dyDescent="0.2">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ht="12.75" x14ac:dyDescent="0.2">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ht="12.75" x14ac:dyDescent="0.2">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ht="12.75" x14ac:dyDescent="0.2">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ht="12.75" x14ac:dyDescent="0.2">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ht="12.75" x14ac:dyDescent="0.2">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ht="12.75" x14ac:dyDescent="0.2">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ht="12.75" x14ac:dyDescent="0.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ht="12.75" x14ac:dyDescent="0.2">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ht="12.75" x14ac:dyDescent="0.2">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ht="12.75" x14ac:dyDescent="0.2">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2.75" x14ac:dyDescent="0.2">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ht="12.75" x14ac:dyDescent="0.2">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ht="12.75" x14ac:dyDescent="0.2">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ht="12.75" x14ac:dyDescent="0.2">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ht="12.75" x14ac:dyDescent="0.2">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ht="12.75" x14ac:dyDescent="0.2">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ht="12.75" x14ac:dyDescent="0.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ht="12.75" x14ac:dyDescent="0.2">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ht="12.75" x14ac:dyDescent="0.2">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ht="12.75" x14ac:dyDescent="0.2">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ht="12.75" x14ac:dyDescent="0.2">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ht="12.75" x14ac:dyDescent="0.2">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ht="12.75" x14ac:dyDescent="0.2">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ht="12.75" x14ac:dyDescent="0.2">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ht="12.75" x14ac:dyDescent="0.2">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ht="12.75" x14ac:dyDescent="0.2">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ht="12.75" x14ac:dyDescent="0.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ht="12.75" x14ac:dyDescent="0.2">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ht="12.75" x14ac:dyDescent="0.2">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ht="12.75" x14ac:dyDescent="0.2">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ht="12.75" x14ac:dyDescent="0.2">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ht="12.75" x14ac:dyDescent="0.2">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ht="12.75" x14ac:dyDescent="0.2">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ht="12.75" x14ac:dyDescent="0.2">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ht="12.75" x14ac:dyDescent="0.2">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ht="12.75" x14ac:dyDescent="0.2">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ht="12.75" x14ac:dyDescent="0.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ht="12.75" x14ac:dyDescent="0.2">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ht="12.75" x14ac:dyDescent="0.2">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ht="12.75" x14ac:dyDescent="0.2">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ht="12.75" x14ac:dyDescent="0.2">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ht="12.75" x14ac:dyDescent="0.2">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ht="12.75" x14ac:dyDescent="0.2">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ht="12.75" x14ac:dyDescent="0.2">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ht="12.75" x14ac:dyDescent="0.2">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ht="12.75" x14ac:dyDescent="0.2">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ht="12.75" x14ac:dyDescent="0.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ht="12.75" x14ac:dyDescent="0.2">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ht="12.75" x14ac:dyDescent="0.2">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ht="12.75" x14ac:dyDescent="0.2">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ht="12.75" x14ac:dyDescent="0.2">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ht="12.75" x14ac:dyDescent="0.2">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ht="12.75" x14ac:dyDescent="0.2">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ht="12.75" x14ac:dyDescent="0.2">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ht="12.75" x14ac:dyDescent="0.2">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ht="12.75" x14ac:dyDescent="0.2">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ht="12.75" x14ac:dyDescent="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ht="12.75" x14ac:dyDescent="0.2">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ht="12.75" x14ac:dyDescent="0.2">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ht="12.75" x14ac:dyDescent="0.2">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ht="12.75" x14ac:dyDescent="0.2">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ht="12.75" x14ac:dyDescent="0.2">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ht="12.75" x14ac:dyDescent="0.2">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ht="12.75" x14ac:dyDescent="0.2">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ht="12.75" x14ac:dyDescent="0.2">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ht="12.75" x14ac:dyDescent="0.2">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ht="12.75" x14ac:dyDescent="0.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ht="12.75" x14ac:dyDescent="0.2">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ht="12.75" x14ac:dyDescent="0.2">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ht="12.75" x14ac:dyDescent="0.2">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ht="12.75" x14ac:dyDescent="0.2">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ht="12.75" x14ac:dyDescent="0.2">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ht="12.75" x14ac:dyDescent="0.2">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ht="12.75" x14ac:dyDescent="0.2">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ht="12.75" x14ac:dyDescent="0.2">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ht="12.75" x14ac:dyDescent="0.2">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ht="12.75" x14ac:dyDescent="0.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ht="12.75" x14ac:dyDescent="0.2">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ht="12.75" x14ac:dyDescent="0.2">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ht="12.75" x14ac:dyDescent="0.2">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ht="12.75" x14ac:dyDescent="0.2">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ht="12.75" x14ac:dyDescent="0.2">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ht="12.75" x14ac:dyDescent="0.2">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ht="12.75" x14ac:dyDescent="0.2">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ht="12.75" x14ac:dyDescent="0.2">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ht="12.75" x14ac:dyDescent="0.2">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ht="12.75" x14ac:dyDescent="0.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ht="12.75" x14ac:dyDescent="0.2">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ht="12.75" x14ac:dyDescent="0.2">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ht="12.75" x14ac:dyDescent="0.2">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ht="12.75" x14ac:dyDescent="0.2">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ht="12.75" x14ac:dyDescent="0.2">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ht="12.75" x14ac:dyDescent="0.2">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ht="12.75" x14ac:dyDescent="0.2">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ht="12.75" x14ac:dyDescent="0.2">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ht="12.75" x14ac:dyDescent="0.2">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ht="12.75" x14ac:dyDescent="0.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ht="12.75" x14ac:dyDescent="0.2">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ht="12.75" x14ac:dyDescent="0.2">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ht="12.75" x14ac:dyDescent="0.2">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ht="12.75" x14ac:dyDescent="0.2">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ht="12.75" x14ac:dyDescent="0.2">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ht="12.75" x14ac:dyDescent="0.2">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ht="12.75" x14ac:dyDescent="0.2">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ht="12.75" x14ac:dyDescent="0.2">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ht="12.75" x14ac:dyDescent="0.2">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ht="12.75" x14ac:dyDescent="0.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ht="12.75" x14ac:dyDescent="0.2">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ht="12.75" x14ac:dyDescent="0.2">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ht="12.75" x14ac:dyDescent="0.2">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ht="12.75" x14ac:dyDescent="0.2">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ht="12.75" x14ac:dyDescent="0.2">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ht="12.75" x14ac:dyDescent="0.2">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ht="12.75" x14ac:dyDescent="0.2">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ht="12.75" x14ac:dyDescent="0.2">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ht="12.75" x14ac:dyDescent="0.2">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ht="12.75" x14ac:dyDescent="0.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ht="12.75" x14ac:dyDescent="0.2">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ht="12.75" x14ac:dyDescent="0.2">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ht="12.75" x14ac:dyDescent="0.2">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ht="12.75" x14ac:dyDescent="0.2">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ht="12.75" x14ac:dyDescent="0.2">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ht="12.75" x14ac:dyDescent="0.2">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ht="12.75" x14ac:dyDescent="0.2">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ht="12.75" x14ac:dyDescent="0.2">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ht="12.75" x14ac:dyDescent="0.2">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ht="12.75" x14ac:dyDescent="0.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ht="12.75" x14ac:dyDescent="0.2">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ht="12.75" x14ac:dyDescent="0.2">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ht="12.75" x14ac:dyDescent="0.2">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ht="12.75" x14ac:dyDescent="0.2">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ht="12.75" x14ac:dyDescent="0.2">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ht="12.75" x14ac:dyDescent="0.2">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ht="12.75" x14ac:dyDescent="0.2">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ht="12.75" x14ac:dyDescent="0.2">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ht="12.75" x14ac:dyDescent="0.2">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ht="12.75" x14ac:dyDescent="0.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ht="12.75" x14ac:dyDescent="0.2">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ht="12.75" x14ac:dyDescent="0.2">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ht="12.75" x14ac:dyDescent="0.2">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ht="12.75" x14ac:dyDescent="0.2">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ht="12.75" x14ac:dyDescent="0.2">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ht="12.75" x14ac:dyDescent="0.2">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ht="12.75" x14ac:dyDescent="0.2">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ht="12.75" x14ac:dyDescent="0.2">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ht="12.75" x14ac:dyDescent="0.2">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ht="12.75" x14ac:dyDescent="0.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ht="12.75" x14ac:dyDescent="0.2">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ht="12.75" x14ac:dyDescent="0.2">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ht="12.75" x14ac:dyDescent="0.2">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ht="12.75" x14ac:dyDescent="0.2">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ht="12.75" x14ac:dyDescent="0.2">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ht="12.75" x14ac:dyDescent="0.2">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ht="12.75" x14ac:dyDescent="0.2">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ht="12.75" x14ac:dyDescent="0.2">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ht="12.75" x14ac:dyDescent="0.2">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ht="12.75" x14ac:dyDescent="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ht="12.75" x14ac:dyDescent="0.2">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ht="12.75" x14ac:dyDescent="0.2">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ht="12.75" x14ac:dyDescent="0.2">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ht="12.75" x14ac:dyDescent="0.2">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ht="12.75" x14ac:dyDescent="0.2">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ht="12.75" x14ac:dyDescent="0.2">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ht="12.75" x14ac:dyDescent="0.2">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ht="12.75" x14ac:dyDescent="0.2">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ht="12.75" x14ac:dyDescent="0.2">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ht="12.75" x14ac:dyDescent="0.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ht="12.75" x14ac:dyDescent="0.2">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ht="12.75" x14ac:dyDescent="0.2">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ht="12.75" x14ac:dyDescent="0.2">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ht="12.75" x14ac:dyDescent="0.2">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ht="12.75" x14ac:dyDescent="0.2">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ht="12.75" x14ac:dyDescent="0.2">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ht="12.75" x14ac:dyDescent="0.2">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ht="12.75" x14ac:dyDescent="0.2">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ht="12.75" x14ac:dyDescent="0.2">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ht="12.75" x14ac:dyDescent="0.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ht="12.75" x14ac:dyDescent="0.2">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ht="12.75" x14ac:dyDescent="0.2">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ht="12.75" x14ac:dyDescent="0.2">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ht="12.75" x14ac:dyDescent="0.2">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ht="12.75" x14ac:dyDescent="0.2">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ht="12.75" x14ac:dyDescent="0.2">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ht="12.75" x14ac:dyDescent="0.2">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ht="12.75" x14ac:dyDescent="0.2">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ht="12.75" x14ac:dyDescent="0.2">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ht="12.75" x14ac:dyDescent="0.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ht="12.75" x14ac:dyDescent="0.2">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ht="12.75" x14ac:dyDescent="0.2">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ht="12.75" x14ac:dyDescent="0.2">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ht="12.75" x14ac:dyDescent="0.2">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ht="12.75" x14ac:dyDescent="0.2">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ht="12.75" x14ac:dyDescent="0.2">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ht="12.75" x14ac:dyDescent="0.2">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ht="12.75" x14ac:dyDescent="0.2">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ht="12.75" x14ac:dyDescent="0.2">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ht="12.75" x14ac:dyDescent="0.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ht="12.75" x14ac:dyDescent="0.2">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ht="12.75" x14ac:dyDescent="0.2">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ht="12.75" x14ac:dyDescent="0.2">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ht="12.75" x14ac:dyDescent="0.2">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ht="12.75" x14ac:dyDescent="0.2">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ht="12.75" x14ac:dyDescent="0.2">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ht="12.75" x14ac:dyDescent="0.2">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ht="12.75" x14ac:dyDescent="0.2">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ht="12.75" x14ac:dyDescent="0.2">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ht="12.75" x14ac:dyDescent="0.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ht="12.75" x14ac:dyDescent="0.2">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ht="12.75" x14ac:dyDescent="0.2">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ht="12.75" x14ac:dyDescent="0.2">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ht="12.75" x14ac:dyDescent="0.2">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ht="12.75" x14ac:dyDescent="0.2">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ht="12.75" x14ac:dyDescent="0.2">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ht="12.75" x14ac:dyDescent="0.2">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ht="12.75" x14ac:dyDescent="0.2">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ht="12.75" x14ac:dyDescent="0.2">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ht="12.75" x14ac:dyDescent="0.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ht="12.75" x14ac:dyDescent="0.2">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ht="12.75" x14ac:dyDescent="0.2">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ht="12.75" x14ac:dyDescent="0.2">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ht="12.75" x14ac:dyDescent="0.2">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ht="12.75" x14ac:dyDescent="0.2">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ht="12.75" x14ac:dyDescent="0.2">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ht="12.75" x14ac:dyDescent="0.2">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ht="12.75" x14ac:dyDescent="0.2">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ht="12.75" x14ac:dyDescent="0.2">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ht="12.75" x14ac:dyDescent="0.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ht="12.75" x14ac:dyDescent="0.2">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ht="12.75" x14ac:dyDescent="0.2">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ht="12.75" x14ac:dyDescent="0.2">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ht="12.75" x14ac:dyDescent="0.2">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ht="12.75" x14ac:dyDescent="0.2">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ht="12.75" x14ac:dyDescent="0.2">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ht="12.75" x14ac:dyDescent="0.2">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ht="12.75" x14ac:dyDescent="0.2">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ht="12.75" x14ac:dyDescent="0.2">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ht="12.75" x14ac:dyDescent="0.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ht="12.75" x14ac:dyDescent="0.2">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ht="12.75" x14ac:dyDescent="0.2">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ht="12.75" x14ac:dyDescent="0.2">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ht="12.75" x14ac:dyDescent="0.2">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ht="12.75" x14ac:dyDescent="0.2">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ht="12.75" x14ac:dyDescent="0.2">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ht="12.75" x14ac:dyDescent="0.2">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ht="12.75" x14ac:dyDescent="0.2">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ht="12.75" x14ac:dyDescent="0.2">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ht="12.75" x14ac:dyDescent="0.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ht="12.75" x14ac:dyDescent="0.2">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ht="12.75" x14ac:dyDescent="0.2">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ht="12.75" x14ac:dyDescent="0.2">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ht="12.75" x14ac:dyDescent="0.2">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ht="12.75" x14ac:dyDescent="0.2">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ht="12.75" x14ac:dyDescent="0.2">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ht="12.75" x14ac:dyDescent="0.2">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ht="12.75" x14ac:dyDescent="0.2">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ht="12.75" x14ac:dyDescent="0.2">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ht="12.75" x14ac:dyDescent="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ht="12.75" x14ac:dyDescent="0.2">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ht="12.75" x14ac:dyDescent="0.2">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ht="12.75" x14ac:dyDescent="0.2">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ht="12.75" x14ac:dyDescent="0.2">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ht="12.75" x14ac:dyDescent="0.2">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ht="12.75" x14ac:dyDescent="0.2">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ht="12.75" x14ac:dyDescent="0.2">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ht="12.75" x14ac:dyDescent="0.2">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ht="12.75" x14ac:dyDescent="0.2">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ht="12.75" x14ac:dyDescent="0.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ht="12.75" x14ac:dyDescent="0.2">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ht="12.75" x14ac:dyDescent="0.2">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ht="12.75" x14ac:dyDescent="0.2">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ht="12.75" x14ac:dyDescent="0.2">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ht="12.75" x14ac:dyDescent="0.2">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ht="12.75" x14ac:dyDescent="0.2">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ht="12.75" x14ac:dyDescent="0.2">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ht="12.75" x14ac:dyDescent="0.2">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ht="12.75" x14ac:dyDescent="0.2">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ht="12.75" x14ac:dyDescent="0.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ht="12.75" x14ac:dyDescent="0.2">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ht="12.75" x14ac:dyDescent="0.2">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ht="12.75" x14ac:dyDescent="0.2">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ht="12.75" x14ac:dyDescent="0.2">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ht="12.75" x14ac:dyDescent="0.2">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ht="12.75" x14ac:dyDescent="0.2">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ht="12.75" x14ac:dyDescent="0.2">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ht="12.75" x14ac:dyDescent="0.2">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ht="12.75" x14ac:dyDescent="0.2">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ht="12.75" x14ac:dyDescent="0.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ht="12.75" x14ac:dyDescent="0.2">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ht="12.75" x14ac:dyDescent="0.2">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ht="12.75" x14ac:dyDescent="0.2">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ht="12.75" x14ac:dyDescent="0.2">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ht="12.75" x14ac:dyDescent="0.2">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ht="12.75" x14ac:dyDescent="0.2">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ht="12.75" x14ac:dyDescent="0.2">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ht="12.75" x14ac:dyDescent="0.2">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ht="12.75" x14ac:dyDescent="0.2">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ht="12.75" x14ac:dyDescent="0.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ht="12.75" x14ac:dyDescent="0.2">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ht="12.75" x14ac:dyDescent="0.2">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ht="12.75" x14ac:dyDescent="0.2">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ht="12.75" x14ac:dyDescent="0.2">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ht="12.75" x14ac:dyDescent="0.2">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ht="12.75" x14ac:dyDescent="0.2">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ht="12.75" x14ac:dyDescent="0.2">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ht="12.75" x14ac:dyDescent="0.2">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ht="12.75" x14ac:dyDescent="0.2">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ht="12.75" x14ac:dyDescent="0.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ht="12.75" x14ac:dyDescent="0.2">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ht="12.75" x14ac:dyDescent="0.2">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ht="12.75" x14ac:dyDescent="0.2">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ht="12.75" x14ac:dyDescent="0.2">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ht="12.75" x14ac:dyDescent="0.2">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ht="12.75" x14ac:dyDescent="0.2">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ht="12.75" x14ac:dyDescent="0.2">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ht="12.75" x14ac:dyDescent="0.2">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ht="12.75" x14ac:dyDescent="0.2">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ht="12.75" x14ac:dyDescent="0.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ht="12.75" x14ac:dyDescent="0.2">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ht="12.75" x14ac:dyDescent="0.2">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ht="12.75" x14ac:dyDescent="0.2">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ht="12.75" x14ac:dyDescent="0.2">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ht="12.75" x14ac:dyDescent="0.2">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ht="12.75" x14ac:dyDescent="0.2">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ht="12.75" x14ac:dyDescent="0.2">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ht="12.75" x14ac:dyDescent="0.2">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ht="12.75" x14ac:dyDescent="0.2">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ht="12.75" x14ac:dyDescent="0.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ht="12.75" x14ac:dyDescent="0.2">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ht="12.75" x14ac:dyDescent="0.2">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ht="12.75" x14ac:dyDescent="0.2">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ht="12.75" x14ac:dyDescent="0.2">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ht="12.75" x14ac:dyDescent="0.2">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ht="12.75" x14ac:dyDescent="0.2">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ht="12.75" x14ac:dyDescent="0.2">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ht="12.75" x14ac:dyDescent="0.2">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ht="12.75" x14ac:dyDescent="0.2">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ht="12.75" x14ac:dyDescent="0.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ht="12.75" x14ac:dyDescent="0.2">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ht="12.75" x14ac:dyDescent="0.2">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ht="12.75" x14ac:dyDescent="0.2">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ht="12.75" x14ac:dyDescent="0.2">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ht="12.75" x14ac:dyDescent="0.2">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ht="12.75" x14ac:dyDescent="0.2">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ht="12.75" x14ac:dyDescent="0.2">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ht="12.75" x14ac:dyDescent="0.2">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ht="12.75" x14ac:dyDescent="0.2">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ht="12.75" x14ac:dyDescent="0.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ht="12.75" x14ac:dyDescent="0.2">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ht="12.75" x14ac:dyDescent="0.2">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ht="12.75" x14ac:dyDescent="0.2">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ht="12.75" x14ac:dyDescent="0.2">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ht="12.75" x14ac:dyDescent="0.2">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ht="12.75" x14ac:dyDescent="0.2">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ht="12.75" x14ac:dyDescent="0.2">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ht="12.75" x14ac:dyDescent="0.2">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ht="12.75" x14ac:dyDescent="0.2">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ht="12.75" x14ac:dyDescent="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2.75" x14ac:dyDescent="0.2">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2.75" x14ac:dyDescent="0.2">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2.75" x14ac:dyDescent="0.2">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2.75" x14ac:dyDescent="0.2">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2.75" x14ac:dyDescent="0.2">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2.75" x14ac:dyDescent="0.2">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2.75" x14ac:dyDescent="0.2">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2.75" x14ac:dyDescent="0.2">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2.75" x14ac:dyDescent="0.2">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2.75" x14ac:dyDescent="0.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2.75" x14ac:dyDescent="0.2">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2.75" x14ac:dyDescent="0.2">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2.75" x14ac:dyDescent="0.2">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2.75" x14ac:dyDescent="0.2">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2.75" x14ac:dyDescent="0.2">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2.75" x14ac:dyDescent="0.2">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2.75" x14ac:dyDescent="0.2">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2.75" x14ac:dyDescent="0.2">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2.75" x14ac:dyDescent="0.2">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2.75" x14ac:dyDescent="0.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2.75" x14ac:dyDescent="0.2">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2.75" x14ac:dyDescent="0.2">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2.75" x14ac:dyDescent="0.2">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2.75" x14ac:dyDescent="0.2">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2.75" x14ac:dyDescent="0.2">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2.75" x14ac:dyDescent="0.2">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2.75" x14ac:dyDescent="0.2">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2.75" x14ac:dyDescent="0.2">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2.75" x14ac:dyDescent="0.2">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2.75" x14ac:dyDescent="0.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2.75" x14ac:dyDescent="0.2">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2.75" x14ac:dyDescent="0.2">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2.75" x14ac:dyDescent="0.2">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2.75" x14ac:dyDescent="0.2">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2.75" x14ac:dyDescent="0.2">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2.75" x14ac:dyDescent="0.2">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2.75" x14ac:dyDescent="0.2">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2.75" x14ac:dyDescent="0.2">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2.75" x14ac:dyDescent="0.2">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2.75" x14ac:dyDescent="0.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2.75" x14ac:dyDescent="0.2">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2.75" x14ac:dyDescent="0.2">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2.75" x14ac:dyDescent="0.2">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2.75" x14ac:dyDescent="0.2">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2.75" x14ac:dyDescent="0.2">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2.75" x14ac:dyDescent="0.2">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2.75" x14ac:dyDescent="0.2">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2.75" x14ac:dyDescent="0.2">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2.75" x14ac:dyDescent="0.2">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2.75" x14ac:dyDescent="0.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2.75" x14ac:dyDescent="0.2">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2.75" x14ac:dyDescent="0.2">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2.75" x14ac:dyDescent="0.2">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2.75" x14ac:dyDescent="0.2">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2.75" x14ac:dyDescent="0.2">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2.75" x14ac:dyDescent="0.2">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2.75" x14ac:dyDescent="0.2">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2.75" x14ac:dyDescent="0.2">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2.75" x14ac:dyDescent="0.2">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2.75" x14ac:dyDescent="0.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2.75" x14ac:dyDescent="0.2">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2.75" x14ac:dyDescent="0.2">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2.75" x14ac:dyDescent="0.2">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2.75" x14ac:dyDescent="0.2">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2.75" x14ac:dyDescent="0.2">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2.75" x14ac:dyDescent="0.2">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2.75" x14ac:dyDescent="0.2">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2.75" x14ac:dyDescent="0.2">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2.75" x14ac:dyDescent="0.2">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2.75" x14ac:dyDescent="0.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2.75" x14ac:dyDescent="0.2">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2.75" x14ac:dyDescent="0.2">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2.75" x14ac:dyDescent="0.2">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2.75" x14ac:dyDescent="0.2">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2.75" x14ac:dyDescent="0.2">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2.75" x14ac:dyDescent="0.2">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2.75" x14ac:dyDescent="0.2">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2.75" x14ac:dyDescent="0.2">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2.75" x14ac:dyDescent="0.2">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2.75" x14ac:dyDescent="0.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2.75" x14ac:dyDescent="0.2">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2.75" x14ac:dyDescent="0.2">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2.75" x14ac:dyDescent="0.2">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2.75" x14ac:dyDescent="0.2">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2.75" x14ac:dyDescent="0.2">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2.75" x14ac:dyDescent="0.2">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2.75" x14ac:dyDescent="0.2">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2.75" x14ac:dyDescent="0.2">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2.75" x14ac:dyDescent="0.2">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2.75" x14ac:dyDescent="0.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2.75" x14ac:dyDescent="0.2">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2.75" x14ac:dyDescent="0.2">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2.75" x14ac:dyDescent="0.2">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2.75" x14ac:dyDescent="0.2">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2.75" x14ac:dyDescent="0.2">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2.75" x14ac:dyDescent="0.2">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2.75" x14ac:dyDescent="0.2">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2.75" x14ac:dyDescent="0.2">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2.75" x14ac:dyDescent="0.2">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2.75" x14ac:dyDescent="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2.75" x14ac:dyDescent="0.2">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2.75" x14ac:dyDescent="0.2">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2.75" x14ac:dyDescent="0.2">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2.75" x14ac:dyDescent="0.2">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2.75" x14ac:dyDescent="0.2">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2.75" x14ac:dyDescent="0.2">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2.75" x14ac:dyDescent="0.2">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2.75" x14ac:dyDescent="0.2">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2.75" x14ac:dyDescent="0.2">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2.75" x14ac:dyDescent="0.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2.75" x14ac:dyDescent="0.2">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2.75" x14ac:dyDescent="0.2">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2.75" x14ac:dyDescent="0.2">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2.75" x14ac:dyDescent="0.2">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2.75" x14ac:dyDescent="0.2">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2.75" x14ac:dyDescent="0.2">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2.75" x14ac:dyDescent="0.2">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2.75" x14ac:dyDescent="0.2">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2.75" x14ac:dyDescent="0.2">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2.75" x14ac:dyDescent="0.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2.75" x14ac:dyDescent="0.2">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2.75" x14ac:dyDescent="0.2">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2.75" x14ac:dyDescent="0.2">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2.75" x14ac:dyDescent="0.2">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2.75" x14ac:dyDescent="0.2">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2.75" x14ac:dyDescent="0.2">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2.75" x14ac:dyDescent="0.2">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2.75" x14ac:dyDescent="0.2">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2.75" x14ac:dyDescent="0.2">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2.75" x14ac:dyDescent="0.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2.75" x14ac:dyDescent="0.2">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2.75" x14ac:dyDescent="0.2">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2.75" x14ac:dyDescent="0.2">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2.75" x14ac:dyDescent="0.2">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2.75" x14ac:dyDescent="0.2">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2.75" x14ac:dyDescent="0.2">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2.75" x14ac:dyDescent="0.2">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2.75" x14ac:dyDescent="0.2">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2.75" x14ac:dyDescent="0.2">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2.75" x14ac:dyDescent="0.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2.75" x14ac:dyDescent="0.2">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2.75" x14ac:dyDescent="0.2">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2.75" x14ac:dyDescent="0.2">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2.75" x14ac:dyDescent="0.2">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2.75" x14ac:dyDescent="0.2">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2.75" x14ac:dyDescent="0.2">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2.75" x14ac:dyDescent="0.2">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2.75" x14ac:dyDescent="0.2">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2.75" x14ac:dyDescent="0.2">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2.75" x14ac:dyDescent="0.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2.75" x14ac:dyDescent="0.2">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2.75" x14ac:dyDescent="0.2">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2.75" x14ac:dyDescent="0.2">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2.75" x14ac:dyDescent="0.2">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2.75" x14ac:dyDescent="0.2">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2.75" x14ac:dyDescent="0.2">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2.75" x14ac:dyDescent="0.2">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2.75" x14ac:dyDescent="0.2">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2.75" x14ac:dyDescent="0.2">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2.75" x14ac:dyDescent="0.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2.75" x14ac:dyDescent="0.2">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2.75" x14ac:dyDescent="0.2">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2.75" x14ac:dyDescent="0.2">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2.75" x14ac:dyDescent="0.2">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2.75" x14ac:dyDescent="0.2">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2.75" x14ac:dyDescent="0.2">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2.75" x14ac:dyDescent="0.2">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2.75" x14ac:dyDescent="0.2">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2.75" x14ac:dyDescent="0.2">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2.75" x14ac:dyDescent="0.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2.75" x14ac:dyDescent="0.2">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2.75" x14ac:dyDescent="0.2">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2.75" x14ac:dyDescent="0.2">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2.75" x14ac:dyDescent="0.2">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2.75" x14ac:dyDescent="0.2">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2.75" x14ac:dyDescent="0.2">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2.75" x14ac:dyDescent="0.2">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2.75" x14ac:dyDescent="0.2">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2.75" x14ac:dyDescent="0.2">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2.75" x14ac:dyDescent="0.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2.75" x14ac:dyDescent="0.2">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2.75" x14ac:dyDescent="0.2">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2.75" x14ac:dyDescent="0.2">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2.75" x14ac:dyDescent="0.2">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2.75" x14ac:dyDescent="0.2">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2.75" x14ac:dyDescent="0.2">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2.75" x14ac:dyDescent="0.2">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2.75" x14ac:dyDescent="0.2">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2.75" x14ac:dyDescent="0.2">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2.75" x14ac:dyDescent="0.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2.75" x14ac:dyDescent="0.2">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2.75" x14ac:dyDescent="0.2">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2.75" x14ac:dyDescent="0.2">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2.75" x14ac:dyDescent="0.2">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2.75" x14ac:dyDescent="0.2">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2.75" x14ac:dyDescent="0.2">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2.75" x14ac:dyDescent="0.2">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2.75" x14ac:dyDescent="0.2">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2.75" x14ac:dyDescent="0.2">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2.75" x14ac:dyDescent="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2.75" x14ac:dyDescent="0.2">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2.75" x14ac:dyDescent="0.2">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2.75" x14ac:dyDescent="0.2">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2.75" x14ac:dyDescent="0.2">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2.75" x14ac:dyDescent="0.2">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2.75" x14ac:dyDescent="0.2">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2.75" x14ac:dyDescent="0.2">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2.75" x14ac:dyDescent="0.2">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2.75" x14ac:dyDescent="0.2">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2.75" x14ac:dyDescent="0.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2.75" x14ac:dyDescent="0.2">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2.75" x14ac:dyDescent="0.2">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2.75" x14ac:dyDescent="0.2">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2.75" x14ac:dyDescent="0.2">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2.75" x14ac:dyDescent="0.2">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2.75" x14ac:dyDescent="0.2">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2.75" x14ac:dyDescent="0.2">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2.75" x14ac:dyDescent="0.2">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2.75" x14ac:dyDescent="0.2">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2.75" x14ac:dyDescent="0.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2.75" x14ac:dyDescent="0.2">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2.75" x14ac:dyDescent="0.2">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2.75" x14ac:dyDescent="0.2">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2.75" x14ac:dyDescent="0.2">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2.75" x14ac:dyDescent="0.2">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2.75" x14ac:dyDescent="0.2">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2.75" x14ac:dyDescent="0.2">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2.75" x14ac:dyDescent="0.2">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2.75" x14ac:dyDescent="0.2">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2.75" x14ac:dyDescent="0.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2.75" x14ac:dyDescent="0.2">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2.75" x14ac:dyDescent="0.2">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2.75" x14ac:dyDescent="0.2">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2.75" x14ac:dyDescent="0.2">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2.75" x14ac:dyDescent="0.2">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2.75" x14ac:dyDescent="0.2">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2.75" x14ac:dyDescent="0.2">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2.75" x14ac:dyDescent="0.2">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2.75" x14ac:dyDescent="0.2">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2.75" x14ac:dyDescent="0.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2.75" x14ac:dyDescent="0.2">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2.75" x14ac:dyDescent="0.2">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2.75" x14ac:dyDescent="0.2">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2.75" x14ac:dyDescent="0.2">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2.75" x14ac:dyDescent="0.2">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2.75" x14ac:dyDescent="0.2">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2.75" x14ac:dyDescent="0.2">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2.75" x14ac:dyDescent="0.2">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2.75" x14ac:dyDescent="0.2">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2.75" x14ac:dyDescent="0.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2.75" x14ac:dyDescent="0.2">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2.75" x14ac:dyDescent="0.2">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2.75" x14ac:dyDescent="0.2">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2.75" x14ac:dyDescent="0.2">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2.75" x14ac:dyDescent="0.2">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2.75" x14ac:dyDescent="0.2">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2.75" x14ac:dyDescent="0.2">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2.75" x14ac:dyDescent="0.2">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2.75" x14ac:dyDescent="0.2">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2.75" x14ac:dyDescent="0.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2.75" x14ac:dyDescent="0.2">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2.75" x14ac:dyDescent="0.2">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2.75" x14ac:dyDescent="0.2">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2.75" x14ac:dyDescent="0.2">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2.75" x14ac:dyDescent="0.2">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2.75" x14ac:dyDescent="0.2">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2.75" x14ac:dyDescent="0.2">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2.75" x14ac:dyDescent="0.2">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2.75" x14ac:dyDescent="0.2">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2.75" x14ac:dyDescent="0.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2.75" x14ac:dyDescent="0.2">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2.75" x14ac:dyDescent="0.2">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2.75" x14ac:dyDescent="0.2">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2.75" x14ac:dyDescent="0.2">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2.75" x14ac:dyDescent="0.2">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2.75" x14ac:dyDescent="0.2">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2.75" x14ac:dyDescent="0.2">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2.75" x14ac:dyDescent="0.2">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2.75" x14ac:dyDescent="0.2">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2.75" x14ac:dyDescent="0.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2.75" x14ac:dyDescent="0.2">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2.75" x14ac:dyDescent="0.2">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2.75" x14ac:dyDescent="0.2">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2.75" x14ac:dyDescent="0.2">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2.75" x14ac:dyDescent="0.2">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2.75" x14ac:dyDescent="0.2">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2.75" x14ac:dyDescent="0.2">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2.75" x14ac:dyDescent="0.2">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2.75" x14ac:dyDescent="0.2">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2.75" x14ac:dyDescent="0.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2.75" x14ac:dyDescent="0.2">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2.75" x14ac:dyDescent="0.2">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2.75" x14ac:dyDescent="0.2">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2.75" x14ac:dyDescent="0.2">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2.75" x14ac:dyDescent="0.2">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2.75" x14ac:dyDescent="0.2">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2.75" x14ac:dyDescent="0.2">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2.75" x14ac:dyDescent="0.2">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2.75" x14ac:dyDescent="0.2">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2.75" x14ac:dyDescent="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2.75" x14ac:dyDescent="0.2">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2.75" x14ac:dyDescent="0.2">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2.75" x14ac:dyDescent="0.2">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2.75" x14ac:dyDescent="0.2">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2.75" x14ac:dyDescent="0.2">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2.75" x14ac:dyDescent="0.2">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2.75" x14ac:dyDescent="0.2">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2.75" x14ac:dyDescent="0.2">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2.75" x14ac:dyDescent="0.2">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2.75" x14ac:dyDescent="0.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2.75" x14ac:dyDescent="0.2">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2.75" x14ac:dyDescent="0.2">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2.75" x14ac:dyDescent="0.2">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2.75" x14ac:dyDescent="0.2">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2.75" x14ac:dyDescent="0.2">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2.75" x14ac:dyDescent="0.2">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2.75" x14ac:dyDescent="0.2">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2.75" x14ac:dyDescent="0.2">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2.75" x14ac:dyDescent="0.2">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2.75" x14ac:dyDescent="0.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2.75" x14ac:dyDescent="0.2">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2.75" x14ac:dyDescent="0.2">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2.75" x14ac:dyDescent="0.2">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2.75" x14ac:dyDescent="0.2">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ht="12.75" x14ac:dyDescent="0.2">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ht="12.75" x14ac:dyDescent="0.2">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ht="12.75" x14ac:dyDescent="0.2">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ht="12.75" x14ac:dyDescent="0.2">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ht="12.75" x14ac:dyDescent="0.2">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ht="12.75" x14ac:dyDescent="0.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ht="12.75" x14ac:dyDescent="0.2">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ht="12.75" x14ac:dyDescent="0.2">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ht="12.75" x14ac:dyDescent="0.2">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ht="12.75" x14ac:dyDescent="0.2">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ht="12.75" x14ac:dyDescent="0.2">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ht="12.75" x14ac:dyDescent="0.2">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ht="12.75" x14ac:dyDescent="0.2">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ht="12.75" x14ac:dyDescent="0.2">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ht="12.75" x14ac:dyDescent="0.2">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ht="12.75" x14ac:dyDescent="0.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2.75" x14ac:dyDescent="0.2">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ht="12.75" x14ac:dyDescent="0.2">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ht="12.75" x14ac:dyDescent="0.2">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ht="12.75" x14ac:dyDescent="0.2">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2.75" x14ac:dyDescent="0.2">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ht="12.75" x14ac:dyDescent="0.2">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ht="12.75" x14ac:dyDescent="0.2">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ht="12.75" x14ac:dyDescent="0.2">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ht="12.75" x14ac:dyDescent="0.2">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ht="12.75" x14ac:dyDescent="0.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ht="12.75" x14ac:dyDescent="0.2">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ht="12.75" x14ac:dyDescent="0.2">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ht="12.75" x14ac:dyDescent="0.2">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ht="12.75" x14ac:dyDescent="0.2">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ht="12.75" x14ac:dyDescent="0.2">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ht="12.75" x14ac:dyDescent="0.2">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ht="12.75" x14ac:dyDescent="0.2">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ht="12.75" x14ac:dyDescent="0.2">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ht="12.75" x14ac:dyDescent="0.2">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ht="12.75" x14ac:dyDescent="0.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ht="12.75" x14ac:dyDescent="0.2">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ht="12.75" x14ac:dyDescent="0.2">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ht="12.75" x14ac:dyDescent="0.2">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ht="12.75" x14ac:dyDescent="0.2">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ht="12.75" x14ac:dyDescent="0.2">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ht="12.75" x14ac:dyDescent="0.2">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ht="12.75" x14ac:dyDescent="0.2">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ht="12.75" x14ac:dyDescent="0.2">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ht="12.75" x14ac:dyDescent="0.2">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ht="12.75" x14ac:dyDescent="0.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ht="12.75" x14ac:dyDescent="0.2">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ht="12.75" x14ac:dyDescent="0.2">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ht="12.75" x14ac:dyDescent="0.2">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ht="12.75" x14ac:dyDescent="0.2">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ht="12.75" x14ac:dyDescent="0.2">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ht="12.75" x14ac:dyDescent="0.2">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ht="12.75" x14ac:dyDescent="0.2">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ht="12.75" x14ac:dyDescent="0.2">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ht="12.75" x14ac:dyDescent="0.2">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2.75" x14ac:dyDescent="0.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ht="12.75" x14ac:dyDescent="0.2">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2.75" x14ac:dyDescent="0.2">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ht="12.75" x14ac:dyDescent="0.2">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ht="12.75" x14ac:dyDescent="0.2">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ht="12.75" x14ac:dyDescent="0.2">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ht="12.75" x14ac:dyDescent="0.2">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ht="12.75" x14ac:dyDescent="0.2">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ht="12.75" x14ac:dyDescent="0.2">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ht="12.75" x14ac:dyDescent="0.2">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ht="12.75" x14ac:dyDescent="0.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ht="12.75" x14ac:dyDescent="0.2">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ht="12.75" x14ac:dyDescent="0.2">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ht="12.75" x14ac:dyDescent="0.2">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ht="12.75" x14ac:dyDescent="0.2">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ht="12.75" x14ac:dyDescent="0.2">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ht="12.75" x14ac:dyDescent="0.2">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ht="12.75" x14ac:dyDescent="0.2">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ht="12.75" x14ac:dyDescent="0.2">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Data</vt:lpstr>
      <vt:lpstr>Cohort_tables</vt:lpstr>
      <vt:lpstr>Conclusions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Owner</cp:lastModifiedBy>
  <dcterms:modified xsi:type="dcterms:W3CDTF">2026-06-19T07:11:49Z</dcterms:modified>
</cp:coreProperties>
</file>